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Thakkar\Downloads\"/>
    </mc:Choice>
  </mc:AlternateContent>
  <xr:revisionPtr revIDLastSave="0" documentId="13_ncr:1_{9460B2E6-0DDF-4607-A87D-E606C1AE6960}" xr6:coauthVersionLast="47" xr6:coauthVersionMax="47" xr10:uidLastSave="{00000000-0000-0000-0000-000000000000}"/>
  <bookViews>
    <workbookView xWindow="-108" yWindow="-108" windowWidth="23256" windowHeight="12456" firstSheet="1" activeTab="1" xr2:uid="{2852ECCE-40C1-4F71-905A-96010BB0A9F6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3" l="1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4" i="3"/>
  <c r="D3" i="3"/>
  <c r="D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156" i="1"/>
  <c r="E15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67" i="1"/>
  <c r="E174" i="1"/>
  <c r="E171" i="1"/>
  <c r="E159" i="1"/>
  <c r="E175" i="1"/>
  <c r="E163" i="1"/>
  <c r="E168" i="1"/>
  <c r="E172" i="1"/>
  <c r="E173" i="1"/>
  <c r="E166" i="1"/>
  <c r="E161" i="1"/>
  <c r="E164" i="1"/>
  <c r="E165" i="1"/>
  <c r="E170" i="1"/>
  <c r="E162" i="1"/>
  <c r="E176" i="1"/>
  <c r="E160" i="1"/>
  <c r="E169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3" i="1"/>
  <c r="E98" i="1"/>
  <c r="E99" i="1"/>
  <c r="E101" i="1"/>
  <c r="E105" i="1"/>
  <c r="E106" i="1"/>
  <c r="E107" i="1"/>
  <c r="E108" i="1"/>
  <c r="E109" i="1"/>
  <c r="E110" i="1"/>
  <c r="E111" i="1"/>
  <c r="E112" i="1"/>
  <c r="E97" i="1"/>
  <c r="E96" i="1"/>
  <c r="E95" i="1"/>
  <c r="E94" i="1"/>
  <c r="E93" i="1"/>
  <c r="E91" i="1"/>
  <c r="E90" i="1"/>
  <c r="E88" i="1"/>
  <c r="E86" i="1"/>
  <c r="E85" i="1"/>
  <c r="E84" i="1"/>
  <c r="E104" i="1"/>
  <c r="E103" i="1"/>
  <c r="E102" i="1"/>
  <c r="E100" i="1"/>
  <c r="E92" i="1"/>
  <c r="E89" i="1"/>
  <c r="E87" i="1"/>
  <c r="E78" i="1"/>
  <c r="E71" i="1"/>
  <c r="E69" i="1"/>
  <c r="E65" i="1"/>
  <c r="E70" i="1"/>
  <c r="E75" i="1"/>
  <c r="E73" i="1"/>
  <c r="E67" i="1"/>
  <c r="E82" i="1"/>
  <c r="E77" i="1"/>
  <c r="E72" i="1"/>
  <c r="E66" i="1"/>
  <c r="E76" i="1"/>
  <c r="E81" i="1"/>
  <c r="E79" i="1"/>
  <c r="E80" i="1"/>
  <c r="E68" i="1"/>
  <c r="E74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4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<sst xmlns="http://schemas.openxmlformats.org/spreadsheetml/2006/main" count="3070" uniqueCount="480">
  <si>
    <t>Sr. No.</t>
  </si>
  <si>
    <t>League ID</t>
  </si>
  <si>
    <t>Leage_Abbrivation_Winbets</t>
  </si>
  <si>
    <t>Team_Abbrivation_Winbets</t>
  </si>
  <si>
    <t>TeamId_Winbets</t>
  </si>
  <si>
    <t>TeamName_Winbets</t>
  </si>
  <si>
    <t>TeamId_Agility</t>
  </si>
  <si>
    <t>TeamName_Agility</t>
  </si>
  <si>
    <t>League_agility</t>
  </si>
  <si>
    <t>EPL</t>
  </si>
  <si>
    <t>ARS</t>
  </si>
  <si>
    <t xml:space="preserve">Arsenal </t>
  </si>
  <si>
    <t>England Premier League</t>
  </si>
  <si>
    <t>TOT</t>
  </si>
  <si>
    <t xml:space="preserve">Tottenham Hotspur </t>
  </si>
  <si>
    <t>MNC</t>
  </si>
  <si>
    <t xml:space="preserve">Manchester City </t>
  </si>
  <si>
    <t>CRY</t>
  </si>
  <si>
    <t xml:space="preserve">Crystal Palace </t>
  </si>
  <si>
    <t>EVE</t>
  </si>
  <si>
    <t xml:space="preserve">Everton </t>
  </si>
  <si>
    <t>BUR</t>
  </si>
  <si>
    <t xml:space="preserve">Burnley </t>
  </si>
  <si>
    <t>BOU</t>
  </si>
  <si>
    <t>AFC Bournemouth</t>
  </si>
  <si>
    <t>MAN</t>
  </si>
  <si>
    <t xml:space="preserve">Manchester United </t>
  </si>
  <si>
    <t>LIV</t>
  </si>
  <si>
    <t xml:space="preserve">Liverpool </t>
  </si>
  <si>
    <t>CHE</t>
  </si>
  <si>
    <t xml:space="preserve">Chelsea </t>
  </si>
  <si>
    <t>WHU</t>
  </si>
  <si>
    <t xml:space="preserve">West Ham United </t>
  </si>
  <si>
    <t>SUN</t>
  </si>
  <si>
    <t xml:space="preserve">Sunderland </t>
  </si>
  <si>
    <t>NEW</t>
  </si>
  <si>
    <t xml:space="preserve">Newcastle United </t>
  </si>
  <si>
    <t>AVL</t>
  </si>
  <si>
    <t xml:space="preserve">Aston Villa </t>
  </si>
  <si>
    <t>FUL</t>
  </si>
  <si>
    <t xml:space="preserve">Fulham </t>
  </si>
  <si>
    <t>BHA</t>
  </si>
  <si>
    <t xml:space="preserve">Brighton &amp; Hove Albion </t>
  </si>
  <si>
    <t>NFO</t>
  </si>
  <si>
    <t xml:space="preserve">Nottingham Forest </t>
  </si>
  <si>
    <t>BRE</t>
  </si>
  <si>
    <t xml:space="preserve">Brentford </t>
  </si>
  <si>
    <t>LEE</t>
  </si>
  <si>
    <t xml:space="preserve">Leeds United </t>
  </si>
  <si>
    <t>WOL</t>
  </si>
  <si>
    <t xml:space="preserve">Wolverhampton Wanderers </t>
  </si>
  <si>
    <t>LALIGA</t>
  </si>
  <si>
    <t>VIL</t>
  </si>
  <si>
    <t>Villarreal</t>
  </si>
  <si>
    <t>Spain La Liga</t>
  </si>
  <si>
    <t>BAR</t>
  </si>
  <si>
    <t>Barcelona</t>
  </si>
  <si>
    <t>FC Barcelona</t>
  </si>
  <si>
    <t>RMA</t>
  </si>
  <si>
    <t>Real Madrid</t>
  </si>
  <si>
    <t>SEV</t>
  </si>
  <si>
    <t>Sevilla</t>
  </si>
  <si>
    <t>Sevilla FC</t>
  </si>
  <si>
    <t>ATM</t>
  </si>
  <si>
    <t>Atlético Madrid</t>
  </si>
  <si>
    <t>ALA</t>
  </si>
  <si>
    <t>Alavés</t>
  </si>
  <si>
    <t>Deportivo Alavés</t>
  </si>
  <si>
    <t>ESP</t>
  </si>
  <si>
    <t>Espanyol</t>
  </si>
  <si>
    <t>RCD Espanyol</t>
  </si>
  <si>
    <t>CEL</t>
  </si>
  <si>
    <t>Celta Vigo</t>
  </si>
  <si>
    <t>Celta de Vigo</t>
  </si>
  <si>
    <t>BET</t>
  </si>
  <si>
    <t>Real Betis</t>
  </si>
  <si>
    <t>ATH</t>
  </si>
  <si>
    <t xml:space="preserve">Athletic Club </t>
  </si>
  <si>
    <t>Athletic Club Bilbao</t>
  </si>
  <si>
    <t>OSA</t>
  </si>
  <si>
    <t>Osasuna</t>
  </si>
  <si>
    <t>CA Osasuna</t>
  </si>
  <si>
    <t>VAL</t>
  </si>
  <si>
    <t>Valencia</t>
  </si>
  <si>
    <t>Valencia CF</t>
  </si>
  <si>
    <t>RSO</t>
  </si>
  <si>
    <t>Real Sociedad</t>
  </si>
  <si>
    <t>RAY</t>
  </si>
  <si>
    <t>Rayo Vallecano</t>
  </si>
  <si>
    <t>LEV</t>
  </si>
  <si>
    <t>Levante</t>
  </si>
  <si>
    <t>Levante UD</t>
  </si>
  <si>
    <t>GET</t>
  </si>
  <si>
    <t xml:space="preserve">Getafe </t>
  </si>
  <si>
    <t>Getafe CF</t>
  </si>
  <si>
    <t>ELC</t>
  </si>
  <si>
    <t>Elche</t>
  </si>
  <si>
    <t>Elche CF</t>
  </si>
  <si>
    <t>MLL</t>
  </si>
  <si>
    <t>Mallorca</t>
  </si>
  <si>
    <t>RCD Mallorca</t>
  </si>
  <si>
    <t>OVI</t>
  </si>
  <si>
    <t>Real Oviedo</t>
  </si>
  <si>
    <t>GIR</t>
  </si>
  <si>
    <t xml:space="preserve">Girona </t>
  </si>
  <si>
    <t>Girona FC</t>
  </si>
  <si>
    <t>SERIEA</t>
  </si>
  <si>
    <t>NAP</t>
  </si>
  <si>
    <t>Napoli</t>
  </si>
  <si>
    <t>Italy Serie A</t>
  </si>
  <si>
    <t>JUV</t>
  </si>
  <si>
    <t>Juventus</t>
  </si>
  <si>
    <t>ROMA</t>
  </si>
  <si>
    <t>Roma</t>
  </si>
  <si>
    <t>CAG</t>
  </si>
  <si>
    <t>Cagliari</t>
  </si>
  <si>
    <t>TOR</t>
  </si>
  <si>
    <t>Torino</t>
  </si>
  <si>
    <t>GEN</t>
  </si>
  <si>
    <t>Genoa</t>
  </si>
  <si>
    <t>MIL</t>
  </si>
  <si>
    <t>AC Milan</t>
  </si>
  <si>
    <t>LAZ</t>
  </si>
  <si>
    <t>Lazio</t>
  </si>
  <si>
    <t>BOL</t>
  </si>
  <si>
    <t>Bologna</t>
  </si>
  <si>
    <t>SAS</t>
  </si>
  <si>
    <t>Sassuolo</t>
  </si>
  <si>
    <t>Inter Milan</t>
  </si>
  <si>
    <t>FIO</t>
  </si>
  <si>
    <t>Fiorentina</t>
  </si>
  <si>
    <t>PAR</t>
  </si>
  <si>
    <t>Parma</t>
  </si>
  <si>
    <t>PIS</t>
  </si>
  <si>
    <t>Pisa</t>
  </si>
  <si>
    <t>CRE</t>
  </si>
  <si>
    <t>Cremonese</t>
  </si>
  <si>
    <t>ATA</t>
  </si>
  <si>
    <t>Atalanta</t>
  </si>
  <si>
    <t>UDI</t>
  </si>
  <si>
    <t>Udinese</t>
  </si>
  <si>
    <t>VER</t>
  </si>
  <si>
    <t>Hellas Verona</t>
  </si>
  <si>
    <t>COMO</t>
  </si>
  <si>
    <t>Como</t>
  </si>
  <si>
    <t>LEC</t>
  </si>
  <si>
    <t>Lecce</t>
  </si>
  <si>
    <t>BUNDESLIGA</t>
  </si>
  <si>
    <t>DOR</t>
  </si>
  <si>
    <t>Borussia Dortmund</t>
  </si>
  <si>
    <t>Germany Bundesliga</t>
  </si>
  <si>
    <t>M05</t>
  </si>
  <si>
    <t>Mainz</t>
  </si>
  <si>
    <t>Mainz 05</t>
  </si>
  <si>
    <t>HSV</t>
  </si>
  <si>
    <t>Hamburger SV</t>
  </si>
  <si>
    <t>SVW</t>
  </si>
  <si>
    <t>Werder Bremen</t>
  </si>
  <si>
    <t>MUN</t>
  </si>
  <si>
    <t>Bayern Munich</t>
  </si>
  <si>
    <t>Bayern München</t>
  </si>
  <si>
    <t>BMG</t>
  </si>
  <si>
    <t>Borussia M'gladbach</t>
  </si>
  <si>
    <t>B04</t>
  </si>
  <si>
    <t>Bayer Leverkusen</t>
  </si>
  <si>
    <t>KOE</t>
  </si>
  <si>
    <t>FC Cologne</t>
  </si>
  <si>
    <t>Köln</t>
  </si>
  <si>
    <t>SCF</t>
  </si>
  <si>
    <t>SC Frieiburg</t>
  </si>
  <si>
    <t>Freiburg</t>
  </si>
  <si>
    <t>WOB</t>
  </si>
  <si>
    <t>Vfl Wolfsburg</t>
  </si>
  <si>
    <t>Wolfsburg</t>
  </si>
  <si>
    <t>SGE</t>
  </si>
  <si>
    <t>Eintracht Frankfurt</t>
  </si>
  <si>
    <t>RBL</t>
  </si>
  <si>
    <t>RB Leipzig</t>
  </si>
  <si>
    <t>TSG</t>
  </si>
  <si>
    <t>TSG Hoffenheim</t>
  </si>
  <si>
    <t>Hoffenheim</t>
  </si>
  <si>
    <t>FCA</t>
  </si>
  <si>
    <t>FC Augsburg</t>
  </si>
  <si>
    <t>Augsburg</t>
  </si>
  <si>
    <t>VFB</t>
  </si>
  <si>
    <t>Vfb Stuttgart</t>
  </si>
  <si>
    <t>Stuttgart</t>
  </si>
  <si>
    <t>FCU</t>
  </si>
  <si>
    <t>1. FC Union Berlin</t>
  </si>
  <si>
    <t>Union Berlin</t>
  </si>
  <si>
    <t>STP</t>
  </si>
  <si>
    <t>St. Pauli</t>
  </si>
  <si>
    <t>HDH</t>
  </si>
  <si>
    <t>1. FC Heidenheim 1846</t>
  </si>
  <si>
    <t>Heidenheim</t>
  </si>
  <si>
    <t>MLS</t>
  </si>
  <si>
    <t>MTL</t>
  </si>
  <si>
    <t>CF MontrÃ©al</t>
  </si>
  <si>
    <t>Montreal Impact</t>
  </si>
  <si>
    <t>USA MLS</t>
  </si>
  <si>
    <t>NYC</t>
  </si>
  <si>
    <t>New York City FC</t>
  </si>
  <si>
    <t>New York City</t>
  </si>
  <si>
    <t>NY</t>
  </si>
  <si>
    <t>New York Red Bulls</t>
  </si>
  <si>
    <t>New York RB</t>
  </si>
  <si>
    <t>VAN</t>
  </si>
  <si>
    <t>Vancouver Whitecaps</t>
  </si>
  <si>
    <t>HOU</t>
  </si>
  <si>
    <t>Houston Dynamo FC</t>
  </si>
  <si>
    <t>Houston Dynamo</t>
  </si>
  <si>
    <t>CHI</t>
  </si>
  <si>
    <t>Chicago Fire FC</t>
  </si>
  <si>
    <t>Chicago Fire</t>
  </si>
  <si>
    <t>SKC</t>
  </si>
  <si>
    <t>Sporting Kansas City</t>
  </si>
  <si>
    <t>Sporting KC</t>
  </si>
  <si>
    <t>CLB</t>
  </si>
  <si>
    <t>Columbus Crew</t>
  </si>
  <si>
    <t>LA</t>
  </si>
  <si>
    <t>LA Galaxy</t>
  </si>
  <si>
    <t>NE</t>
  </si>
  <si>
    <t>New England Revolution</t>
  </si>
  <si>
    <t>COL</t>
  </si>
  <si>
    <t>Colorado Rapids</t>
  </si>
  <si>
    <t>DAL</t>
  </si>
  <si>
    <t>FC Dallas</t>
  </si>
  <si>
    <t>RSL</t>
  </si>
  <si>
    <t>Real Salt Lake</t>
  </si>
  <si>
    <t>SJ</t>
  </si>
  <si>
    <t>San Jose Earthquakes</t>
  </si>
  <si>
    <t>SJ Earthquakes</t>
  </si>
  <si>
    <t>PHI</t>
  </si>
  <si>
    <t>Philadelphia Union</t>
  </si>
  <si>
    <t>ORL</t>
  </si>
  <si>
    <t>Orlando City SC</t>
  </si>
  <si>
    <t>Orlando City</t>
  </si>
  <si>
    <t>SEA</t>
  </si>
  <si>
    <t>Seattle Sounders FC</t>
  </si>
  <si>
    <t>Seattle Sounders</t>
  </si>
  <si>
    <t>Toronto FC</t>
  </si>
  <si>
    <t>Toronto</t>
  </si>
  <si>
    <t>POR</t>
  </si>
  <si>
    <t>Portland Timbers</t>
  </si>
  <si>
    <t>MIN</t>
  </si>
  <si>
    <t>Minnesota United FC</t>
  </si>
  <si>
    <t>Minnesota United</t>
  </si>
  <si>
    <t>ATL</t>
  </si>
  <si>
    <t>Atlanta United FC</t>
  </si>
  <si>
    <t>LAFC</t>
  </si>
  <si>
    <t>Los Angeles FC</t>
  </si>
  <si>
    <t>CIN</t>
  </si>
  <si>
    <t>FC Cincinnati</t>
  </si>
  <si>
    <t>DC</t>
  </si>
  <si>
    <t>D.C. United</t>
  </si>
  <si>
    <t>DC United</t>
  </si>
  <si>
    <t>MIA</t>
  </si>
  <si>
    <t>Inter Miami CF</t>
  </si>
  <si>
    <t>Inter Miami</t>
  </si>
  <si>
    <t>NSH</t>
  </si>
  <si>
    <t>Nashville SC</t>
  </si>
  <si>
    <t>ATX</t>
  </si>
  <si>
    <t>Austin FC</t>
  </si>
  <si>
    <t>Austin</t>
  </si>
  <si>
    <t>CLT</t>
  </si>
  <si>
    <t>Charlotte FC</t>
  </si>
  <si>
    <t>Charlotte</t>
  </si>
  <si>
    <t>STL</t>
  </si>
  <si>
    <t>St. Louis CITY SC</t>
  </si>
  <si>
    <t>St. Louis City</t>
  </si>
  <si>
    <t>SD</t>
  </si>
  <si>
    <t>San Diego FC</t>
  </si>
  <si>
    <t>San Diego</t>
  </si>
  <si>
    <t>LIGUE1</t>
  </si>
  <si>
    <t>MON</t>
  </si>
  <si>
    <t>AS Monaco</t>
  </si>
  <si>
    <t>Monaco</t>
  </si>
  <si>
    <t>France Ligue 1</t>
  </si>
  <si>
    <t>LYON</t>
  </si>
  <si>
    <t>Lyon</t>
  </si>
  <si>
    <t>Olympique Lyonnais</t>
  </si>
  <si>
    <t>France Ligue 2</t>
  </si>
  <si>
    <t>PSG</t>
  </si>
  <si>
    <t>Paris Saint-Germain</t>
  </si>
  <si>
    <t>France Ligue 3</t>
  </si>
  <si>
    <t>METZ</t>
  </si>
  <si>
    <t>Metz</t>
  </si>
  <si>
    <t>France Ligue 4</t>
  </si>
  <si>
    <t>TOU</t>
  </si>
  <si>
    <t>Toulouse</t>
  </si>
  <si>
    <t>France Ligue 5</t>
  </si>
  <si>
    <t>NAN</t>
  </si>
  <si>
    <t>Nantes</t>
  </si>
  <si>
    <t>France Ligue 6</t>
  </si>
  <si>
    <t>LILL</t>
  </si>
  <si>
    <t>Lille</t>
  </si>
  <si>
    <t>France Ligue 7</t>
  </si>
  <si>
    <t>REN</t>
  </si>
  <si>
    <t>Stade Rennais</t>
  </si>
  <si>
    <t>Rennes</t>
  </si>
  <si>
    <t>France Ligue 8</t>
  </si>
  <si>
    <t>OLM</t>
  </si>
  <si>
    <t>Marseille</t>
  </si>
  <si>
    <t>Olympique Marseille</t>
  </si>
  <si>
    <t>France Ligue 9</t>
  </si>
  <si>
    <t>ANG</t>
  </si>
  <si>
    <t>Angers</t>
  </si>
  <si>
    <t>Angers SCO</t>
  </si>
  <si>
    <t>France Ligue 10</t>
  </si>
  <si>
    <t>NICE</t>
  </si>
  <si>
    <t>Nice</t>
  </si>
  <si>
    <t>France Ligue 11</t>
  </si>
  <si>
    <t>LOR</t>
  </si>
  <si>
    <t>Lorient</t>
  </si>
  <si>
    <t>France Ligue 12</t>
  </si>
  <si>
    <t>RCL</t>
  </si>
  <si>
    <t>Lens</t>
  </si>
  <si>
    <t>France Ligue 13</t>
  </si>
  <si>
    <t>AUX</t>
  </si>
  <si>
    <t>AJ Auxerre</t>
  </si>
  <si>
    <t>Auxerre</t>
  </si>
  <si>
    <t>France Ligue 14</t>
  </si>
  <si>
    <t>STR</t>
  </si>
  <si>
    <t>Strasbourg</t>
  </si>
  <si>
    <t>France Ligue 15</t>
  </si>
  <si>
    <t>Brest</t>
  </si>
  <si>
    <t>France Ligue 16</t>
  </si>
  <si>
    <t>HAC</t>
  </si>
  <si>
    <t>Le Havre AC</t>
  </si>
  <si>
    <t>Le Havre</t>
  </si>
  <si>
    <t>France Ligue 17</t>
  </si>
  <si>
    <t>Paris FC</t>
  </si>
  <si>
    <t>Paris</t>
  </si>
  <si>
    <t>France Ligue 18</t>
  </si>
  <si>
    <t>EREDIVISIE</t>
  </si>
  <si>
    <t>AJA</t>
  </si>
  <si>
    <t>Ajax Amsterdam</t>
  </si>
  <si>
    <t>Ajax</t>
  </si>
  <si>
    <t>Netherlands Eredivisie</t>
  </si>
  <si>
    <t>PSV</t>
  </si>
  <si>
    <t>PSV Eindhoven</t>
  </si>
  <si>
    <t>GAE</t>
  </si>
  <si>
    <t>Go Ahead Eagles</t>
  </si>
  <si>
    <t>FEY</t>
  </si>
  <si>
    <t>Feyenoord Rotterdam</t>
  </si>
  <si>
    <t>Feyenoord</t>
  </si>
  <si>
    <t>HER</t>
  </si>
  <si>
    <t>Heracles Almelo</t>
  </si>
  <si>
    <t>Heracles</t>
  </si>
  <si>
    <t>SPA</t>
  </si>
  <si>
    <t>Sparta Rotterdam</t>
  </si>
  <si>
    <t>GRO</t>
  </si>
  <si>
    <t>FC Groningen</t>
  </si>
  <si>
    <t>Groningen</t>
  </si>
  <si>
    <t>HEE</t>
  </si>
  <si>
    <t>Heerenveen</t>
  </si>
  <si>
    <t>EXC</t>
  </si>
  <si>
    <t>Excelsior</t>
  </si>
  <si>
    <t>TWE</t>
  </si>
  <si>
    <t>FC Twente</t>
  </si>
  <si>
    <t>Twente</t>
  </si>
  <si>
    <t>UTR</t>
  </si>
  <si>
    <t>FC Utrecht</t>
  </si>
  <si>
    <t>Utrecht</t>
  </si>
  <si>
    <t>AZ</t>
  </si>
  <si>
    <t>AZ Alkmaar</t>
  </si>
  <si>
    <t>NEC</t>
  </si>
  <si>
    <t>NEC Nijmegen</t>
  </si>
  <si>
    <t>PEC</t>
  </si>
  <si>
    <t>PEC Zwolle</t>
  </si>
  <si>
    <t>NAC</t>
  </si>
  <si>
    <t>NAC Breda</t>
  </si>
  <si>
    <t>FOR</t>
  </si>
  <si>
    <t>Fortuna Sittard</t>
  </si>
  <si>
    <t>TEL</t>
  </si>
  <si>
    <t>Telstar</t>
  </si>
  <si>
    <t>VOL</t>
  </si>
  <si>
    <t>FC Volendam</t>
  </si>
  <si>
    <t>Volendam</t>
  </si>
  <si>
    <t>LIGA_MX</t>
  </si>
  <si>
    <t>AME</t>
  </si>
  <si>
    <t>América</t>
  </si>
  <si>
    <t>Mexico Liga MX</t>
  </si>
  <si>
    <t>ATS</t>
  </si>
  <si>
    <t>Atlas</t>
  </si>
  <si>
    <t>ASL</t>
  </si>
  <si>
    <t>Atlético de San Luis</t>
  </si>
  <si>
    <t>Atlético San Luis</t>
  </si>
  <si>
    <t>CAZ</t>
  </si>
  <si>
    <t>Cruz Azul</t>
  </si>
  <si>
    <t>GDL</t>
  </si>
  <si>
    <t>Guadalajara</t>
  </si>
  <si>
    <t>JUA</t>
  </si>
  <si>
    <t>FC Juarez</t>
  </si>
  <si>
    <t>Juárez</t>
  </si>
  <si>
    <t>LEO</t>
  </si>
  <si>
    <t>León</t>
  </si>
  <si>
    <t>MAZ</t>
  </si>
  <si>
    <t>Mazatlán FC</t>
  </si>
  <si>
    <t>Mazatlán</t>
  </si>
  <si>
    <t>MTY</t>
  </si>
  <si>
    <t>Monterrey</t>
  </si>
  <si>
    <t>NCX</t>
  </si>
  <si>
    <t>Necaxa</t>
  </si>
  <si>
    <t>PAC</t>
  </si>
  <si>
    <t>Pachuca</t>
  </si>
  <si>
    <t>PUE</t>
  </si>
  <si>
    <t>Puebla</t>
  </si>
  <si>
    <t>UNAM</t>
  </si>
  <si>
    <t>Pumas UNAM</t>
  </si>
  <si>
    <t>QRO</t>
  </si>
  <si>
    <t>Querétaro</t>
  </si>
  <si>
    <t>SAN</t>
  </si>
  <si>
    <t>Santos</t>
  </si>
  <si>
    <t>Santos Laguna</t>
  </si>
  <si>
    <t>UANL</t>
  </si>
  <si>
    <t>Tigres UANL</t>
  </si>
  <si>
    <t>TIJ</t>
  </si>
  <si>
    <t>Tijuana</t>
  </si>
  <si>
    <t>TOL</t>
  </si>
  <si>
    <t>Toluca</t>
  </si>
  <si>
    <t>14924: "Europe UEFA"</t>
  </si>
  <si>
    <t>UEFA</t>
  </si>
  <si>
    <t>Europe UEFA</t>
  </si>
  <si>
    <t>Arsenal</t>
  </si>
  <si>
    <t>Athletic Club</t>
  </si>
  <si>
    <t>BEN</t>
  </si>
  <si>
    <t>Benfica</t>
  </si>
  <si>
    <t>BODO</t>
  </si>
  <si>
    <t>Bodo/Glimt</t>
  </si>
  <si>
    <t>FK Bodo - Glimt</t>
  </si>
  <si>
    <t>Chelsea</t>
  </si>
  <si>
    <t>BRU</t>
  </si>
  <si>
    <t>Club Brugge</t>
  </si>
  <si>
    <t>KBH</t>
  </si>
  <si>
    <t>F.C. KÃ¸benhavn</t>
  </si>
  <si>
    <t>København</t>
  </si>
  <si>
    <t>QAR</t>
  </si>
  <si>
    <t>FK Qarabag</t>
  </si>
  <si>
    <t>Qarabağ</t>
  </si>
  <si>
    <t>GAL</t>
  </si>
  <si>
    <t>Galatasaray</t>
  </si>
  <si>
    <t>INT</t>
  </si>
  <si>
    <t>Internazionale</t>
  </si>
  <si>
    <t>KAI</t>
  </si>
  <si>
    <t>Kairat Almaty</t>
  </si>
  <si>
    <t>Kairat</t>
  </si>
  <si>
    <t>Liverpool</t>
  </si>
  <si>
    <t>Manchester City</t>
  </si>
  <si>
    <t>Newcastle United</t>
  </si>
  <si>
    <t>OLY</t>
  </si>
  <si>
    <t>Olympiacos</t>
  </si>
  <si>
    <t>Olympiakos Piraeus</t>
  </si>
  <si>
    <t>PAF</t>
  </si>
  <si>
    <t>Pafos</t>
  </si>
  <si>
    <t>Paphos</t>
  </si>
  <si>
    <t>SLP</t>
  </si>
  <si>
    <t>Slavia Prague</t>
  </si>
  <si>
    <t>Slavia Praha</t>
  </si>
  <si>
    <t>SCP</t>
  </si>
  <si>
    <t>Sporting CP</t>
  </si>
  <si>
    <t>Tottenham Hotspur</t>
  </si>
  <si>
    <t>USG</t>
  </si>
  <si>
    <t>Union St.-Gilloise</t>
  </si>
  <si>
    <t>Union Saint-Gilloise</t>
  </si>
  <si>
    <t>LeagueID_Agility</t>
  </si>
  <si>
    <t>League_Wb</t>
  </si>
  <si>
    <t>TeamName_Abbrivation</t>
  </si>
  <si>
    <t>TeamId_Wb</t>
  </si>
  <si>
    <t>TeamName_Wb</t>
  </si>
  <si>
    <t>League_Agility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</si>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</sst>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3" xfId="0" applyFill="1" applyBorder="1"/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06"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2F38D1-0CF8-4795-AD66-E65C39DF03BB}" name="Table5" displayName="Table5" ref="A1:I21" totalsRowShown="0" headerRowDxfId="105" dataDxfId="104">
  <autoFilter ref="A1:I21" xr:uid="{3C2F38D1-0CF8-4795-AD66-E65C39DF03BB}"/>
  <tableColumns count="9">
    <tableColumn id="8" xr3:uid="{4BC8AFDD-AE76-49D1-9E4F-474F66E12F12}" name="Sr. No." dataDxfId="103"/>
    <tableColumn id="1" xr3:uid="{75F9DAB4-0EC9-4BC9-8606-782CF84F4464}" name="League ID" dataDxfId="102"/>
    <tableColumn id="2" xr3:uid="{00F4A630-D49F-4135-9F55-2A6BA29B891D}" name="Leage_Abbrivation_Winbets" dataDxfId="101"/>
    <tableColumn id="3" xr3:uid="{920B9CAC-90FF-40EE-B151-C75D76D1D2C2}" name="Team_Abbrivation_Winbets" dataDxfId="100"/>
    <tableColumn id="4" xr3:uid="{D1BD9F72-4CDE-4E4F-9051-16A41B4A21F8}" name="TeamId_Winbets" dataDxfId="99">
      <calculatedColumnFormula>LOWER(Table5[[#This Row],[Leage_Abbrivation_Winbets]]) &amp; "_" &amp; LOWER(Table5[[#This Row],[Team_Abbrivation_Winbets]])</calculatedColumnFormula>
    </tableColumn>
    <tableColumn id="5" xr3:uid="{71BEC073-01D0-4C27-AF72-3F4FCF952EF6}" name="TeamName_Winbets" dataDxfId="98"/>
    <tableColumn id="6" xr3:uid="{FC934C48-C354-4DBD-84D8-7DEECFCA768E}" name="TeamId_Agility" dataDxfId="97"/>
    <tableColumn id="7" xr3:uid="{72F6C437-B561-4B89-9D13-113F5CEC8813}" name="TeamName_Agility" dataDxfId="96"/>
    <tableColumn id="9" xr3:uid="{7E72AFC3-77E3-4009-9221-2FED6277C729}" name="League_agility" dataDxfId="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521035-F827-4BFC-A9D1-6C17ED35AF68}" name="Table57" displayName="Table57" ref="A22:I42" totalsRowShown="0" headerRowDxfId="94" dataDxfId="93">
  <autoFilter ref="A22:I42" xr:uid="{E6521035-F827-4BFC-A9D1-6C17ED35AF68}"/>
  <tableColumns count="9">
    <tableColumn id="8" xr3:uid="{C2CD938C-D19D-4A7C-ABA7-98ED11627F24}" name="Sr. No." dataDxfId="92"/>
    <tableColumn id="1" xr3:uid="{2C7185FD-7ABE-4C76-B46C-84B1F70F7A45}" name="League ID" dataDxfId="91"/>
    <tableColumn id="2" xr3:uid="{C6B8D2E7-C6CC-45ED-90EF-E134108173D3}" name="Leage_Abbrivation_Winbets" dataDxfId="90"/>
    <tableColumn id="3" xr3:uid="{F8C8F384-54A1-4498-A2FE-8863EB1F610F}" name="Team_Abbrivation_Winbets" dataDxfId="89"/>
    <tableColumn id="4" xr3:uid="{9BD97FC8-6773-4B56-8B2D-9D03498570F1}" name="TeamId_Winbets" dataDxfId="88">
      <calculatedColumnFormula>LOWER(Table57[[#This Row],[Leage_Abbrivation_Winbets]]) &amp; "_" &amp; LOWER(Table57[[#This Row],[Team_Abbrivation_Winbets]])</calculatedColumnFormula>
    </tableColumn>
    <tableColumn id="5" xr3:uid="{8E1C2FA0-7E01-4205-8B23-0178B8EA5D19}" name="TeamName_Winbets" dataDxfId="87"/>
    <tableColumn id="6" xr3:uid="{427341F9-7446-4D82-AC26-8103327BADE1}" name="TeamId_Agility" dataDxfId="86"/>
    <tableColumn id="7" xr3:uid="{63A6D0EE-8C29-40FE-A57A-305D1181D91D}" name="TeamName_Agility" dataDxfId="85"/>
    <tableColumn id="9" xr3:uid="{65EA861B-2146-4786-A154-525E8350E30E}" name="League_agility" dataDxfId="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9B9265-D450-4E15-A76E-B933F1F8311A}" name="Table578" displayName="Table578" ref="A43:I63" totalsRowShown="0" headerRowDxfId="83" dataDxfId="82">
  <autoFilter ref="A43:I63" xr:uid="{009B9265-D450-4E15-A76E-B933F1F8311A}"/>
  <tableColumns count="9">
    <tableColumn id="8" xr3:uid="{8F0BCC8F-391B-4061-9C32-39225448821B}" name="Sr. No." dataDxfId="81"/>
    <tableColumn id="1" xr3:uid="{A707F1CA-5782-48BE-9DF6-4F8919671819}" name="League ID" dataDxfId="80"/>
    <tableColumn id="2" xr3:uid="{D78D1828-013C-4CD5-9CDA-7410BF74B91E}" name="Leage_Abbrivation_Winbets" dataDxfId="79"/>
    <tableColumn id="3" xr3:uid="{7E78730B-BC0B-4902-83D7-03C3C8EC08DE}" name="Team_Abbrivation_Winbets" dataDxfId="78">
      <calculatedColumnFormula>VLOOKUP(Table578[[#This Row],[TeamName_Agility]],#REF!, 2, FALSE)</calculatedColumnFormula>
    </tableColumn>
    <tableColumn id="4" xr3:uid="{E3A7F54B-D3C6-42EC-B30D-705805551280}" name="TeamId_Winbets" dataDxfId="77">
      <calculatedColumnFormula>LOWER(Table578[[#This Row],[Leage_Abbrivation_Winbets]]) &amp; "_" &amp; LOWER(Table578[[#This Row],[Team_Abbrivation_Winbets]])</calculatedColumnFormula>
    </tableColumn>
    <tableColumn id="5" xr3:uid="{5B466B47-D0BA-4598-8315-4B961E00B97C}" name="TeamName_Winbets" dataDxfId="76"/>
    <tableColumn id="6" xr3:uid="{213FB9A5-7F84-4FF0-A912-3DCABD8BE86B}" name="TeamId_Agility" dataDxfId="75"/>
    <tableColumn id="7" xr3:uid="{D5E706BE-2F62-4CFA-9913-E890EE2705CB}" name="TeamName_Agility" dataDxfId="74"/>
    <tableColumn id="9" xr3:uid="{3BD86595-ED56-4AA6-A317-0BD4A36BF04C}" name="League_agility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001349-2DAB-4360-AE55-5111F412E6CD}" name="Table5789" displayName="Table5789" ref="A64:I82" totalsRowShown="0" headerRowDxfId="72" dataDxfId="71">
  <autoFilter ref="A64:I82" xr:uid="{AE001349-2DAB-4360-AE55-5111F412E6CD}"/>
  <sortState xmlns:xlrd2="http://schemas.microsoft.com/office/spreadsheetml/2017/richdata2" ref="B65:H82">
    <sortCondition ref="G64:G82"/>
  </sortState>
  <tableColumns count="9">
    <tableColumn id="8" xr3:uid="{993FC3B4-FBFB-4089-8A8D-962FF1E5E015}" name="Sr. No."/>
    <tableColumn id="1" xr3:uid="{D48C4AE7-3EC6-495F-82ED-3CE293B9D42F}" name="League ID" dataDxfId="70"/>
    <tableColumn id="2" xr3:uid="{71E25B50-7A23-4E0A-A408-1CB509D86725}" name="Leage_Abbrivation_Winbets" dataDxfId="69"/>
    <tableColumn id="3" xr3:uid="{F8F17D38-6173-405A-9835-5D79045C177F}" name="Team_Abbrivation_Winbets" dataDxfId="68">
      <calculatedColumnFormula>VLOOKUP(Table5789[[#This Row],[TeamName_Agility]],#REF!, 2, FALSE)</calculatedColumnFormula>
    </tableColumn>
    <tableColumn id="4" xr3:uid="{93CCDABE-1BDB-43C6-87B1-245CC486426D}" name="TeamId_Winbets" dataDxfId="67">
      <calculatedColumnFormula>LOWER(Table5789[[#This Row],[Leage_Abbrivation_Winbets]]) &amp; "_" &amp; LOWER(Table5789[[#This Row],[Team_Abbrivation_Winbets]])</calculatedColumnFormula>
    </tableColumn>
    <tableColumn id="5" xr3:uid="{070137D5-D183-49F3-BFE5-4501AED5D06E}" name="TeamName_Winbets" dataDxfId="66"/>
    <tableColumn id="6" xr3:uid="{BA180E94-45DE-4052-80C6-F4E0746E8728}" name="TeamId_Agility" dataDxfId="65"/>
    <tableColumn id="7" xr3:uid="{3CD7D39E-BB86-4777-88D9-56EB130FA553}" name="TeamName_Agility" dataDxfId="64"/>
    <tableColumn id="9" xr3:uid="{2C6FF2B9-6152-4392-8689-A44D1446995C}" name="League_agility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280809-DDCC-4FDE-B1DE-7B55A7309AE4}" name="Table578910" displayName="Table578910" ref="A83:I113" totalsRowShown="0" headerRowDxfId="62" dataDxfId="61">
  <tableColumns count="9">
    <tableColumn id="8" xr3:uid="{94C7F899-C7F6-4A27-A2DE-24950565915A}" name="Sr. No." dataDxfId="60"/>
    <tableColumn id="1" xr3:uid="{62AECB9B-06A9-418F-A25F-0B9EA45A320C}" name="League ID" dataDxfId="59"/>
    <tableColumn id="2" xr3:uid="{A4C7A3AD-E7BE-4F24-8289-1087EBD6C6E2}" name="Leage_Abbrivation_Winbets" dataDxfId="58"/>
    <tableColumn id="3" xr3:uid="{AEE9F93A-EAFD-4D78-820D-F57F3BE464FB}" name="Team_Abbrivation_Winbets" dataDxfId="57"/>
    <tableColumn id="4" xr3:uid="{5B99A38C-357B-47A3-95F1-6B462B989BA8}" name="TeamId_Winbets" dataDxfId="56">
      <calculatedColumnFormula>LOWER(Table578910[[#This Row],[Leage_Abbrivation_Winbets]]) &amp; "_" &amp; LOWER(Table578910[[#This Row],[Team_Abbrivation_Winbets]])</calculatedColumnFormula>
    </tableColumn>
    <tableColumn id="5" xr3:uid="{F5916181-C5DD-48B3-AB8F-4C8EFB2096C5}" name="TeamName_Winbets" dataDxfId="55"/>
    <tableColumn id="6" xr3:uid="{F13DBE05-1805-41BA-867A-EF2E1574FB04}" name="TeamId_Agility" dataDxfId="54"/>
    <tableColumn id="7" xr3:uid="{ABB34748-F014-4FAB-B887-29783A2C70AC}" name="TeamName_Agility" dataDxfId="53"/>
    <tableColumn id="9" xr3:uid="{542FFEE8-024B-42C3-BE7E-CEC0A42DDE57}" name="League_agility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3DEF59-5B7C-49D0-B8BE-D38FE117E244}" name="Table57811" displayName="Table57811" ref="A116:I134" totalsRowShown="0" headerRowDxfId="51" dataDxfId="50">
  <autoFilter ref="A116:I134" xr:uid="{D63DEF59-5B7C-49D0-B8BE-D38FE117E244}"/>
  <sortState xmlns:xlrd2="http://schemas.microsoft.com/office/spreadsheetml/2017/richdata2" ref="B117:H134">
    <sortCondition ref="G116:G134"/>
  </sortState>
  <tableColumns count="9">
    <tableColumn id="8" xr3:uid="{AAF93CBF-4DE3-47A1-AD19-953E57616A97}" name="Sr. No."/>
    <tableColumn id="1" xr3:uid="{8A8DE8AB-FBE8-4840-800E-CFC9D85B7060}" name="League ID" dataDxfId="49"/>
    <tableColumn id="2" xr3:uid="{DE4F1F6F-D5FB-45D7-B160-76832DFFB483}" name="Leage_Abbrivation_Winbets" dataDxfId="48"/>
    <tableColumn id="3" xr3:uid="{245671A8-BF7F-46C7-8BBA-83CC6DFA4693}" name="Team_Abbrivation_Winbets" dataDxfId="47"/>
    <tableColumn id="4" xr3:uid="{AA872FE9-0754-454D-A93A-CFB2DE83C57E}" name="TeamId_Winbets" dataDxfId="46">
      <calculatedColumnFormula>LOWER(Table57811[[#This Row],[Leage_Abbrivation_Winbets]]) &amp; "_" &amp; LOWER(Table57811[[#This Row],[Team_Abbrivation_Winbets]])</calculatedColumnFormula>
    </tableColumn>
    <tableColumn id="5" xr3:uid="{F55873E9-D821-440D-B76F-C1F401CA5CCF}" name="TeamName_Winbets" dataDxfId="45"/>
    <tableColumn id="6" xr3:uid="{06E45C59-98BC-4417-BAEF-132E65F640FD}" name="TeamId_Agility" dataDxfId="44"/>
    <tableColumn id="7" xr3:uid="{D436C525-AF99-479B-A71F-93BC6E3C5E25}" name="TeamName_Agility" dataDxfId="43"/>
    <tableColumn id="9" xr3:uid="{E6456489-5336-44B1-BF08-8ABA03DB0EB6}" name="League_agility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04BB7B-D50C-491A-B360-2F5BDA31BE4C}" name="Table5781112" displayName="Table5781112" ref="A137:I157" totalsRowShown="0" headerRowDxfId="41" dataDxfId="40">
  <autoFilter ref="A137:I157" xr:uid="{8404BB7B-D50C-491A-B360-2F5BDA31BE4C}"/>
  <sortState xmlns:xlrd2="http://schemas.microsoft.com/office/spreadsheetml/2017/richdata2" ref="B138:H155">
    <sortCondition ref="G137:G155"/>
  </sortState>
  <tableColumns count="9">
    <tableColumn id="8" xr3:uid="{6F9FF835-5B9F-4A8B-8BBF-F132A5A5BEEC}" name="Sr. No."/>
    <tableColumn id="1" xr3:uid="{EB910E5F-D3D3-42FA-8C74-7CD7A6F9616C}" name="League ID" dataDxfId="39"/>
    <tableColumn id="2" xr3:uid="{8F9A621F-CCB0-4B3F-837F-A41B91E4CEAC}" name="Leage_Abbrivation_Winbets" dataDxfId="38"/>
    <tableColumn id="3" xr3:uid="{7C2EE63A-F9F7-408C-B5A5-2EA02F1E377C}" name="Team_Abbrivation_Winbets" dataDxfId="37"/>
    <tableColumn id="4" xr3:uid="{021541C7-AAEB-47CE-A097-7E2FFE189E38}" name="TeamId_Winbets" dataDxfId="36">
      <calculatedColumnFormula>LOWER(Table5781112[[#This Row],[Leage_Abbrivation_Winbets]]) &amp; "_" &amp; LOWER(Table5781112[[#This Row],[Team_Abbrivation_Winbets]])</calculatedColumnFormula>
    </tableColumn>
    <tableColumn id="5" xr3:uid="{04B409F0-C7B5-4B67-94EB-52E53D340BC6}" name="TeamName_Winbets" dataDxfId="35"/>
    <tableColumn id="6" xr3:uid="{610E592E-FA6A-4545-99FC-DBD20F1864CA}" name="TeamId_Agility" dataDxfId="34"/>
    <tableColumn id="7" xr3:uid="{1EA46831-2345-4F31-A7AA-0732E52E0755}" name="TeamName_Agility" dataDxfId="33"/>
    <tableColumn id="9" xr3:uid="{F1BB3044-E1EF-4E25-9ACC-5B2D873D7CB3}" name="League_agility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A28644-1C01-4E9F-AC2A-C29FA8648774}" name="Table578111213" displayName="Table578111213" ref="A158:I176" totalsRowShown="0" headerRowDxfId="31" dataDxfId="30">
  <autoFilter ref="A158:I176" xr:uid="{A5A28644-1C01-4E9F-AC2A-C29FA8648774}"/>
  <sortState xmlns:xlrd2="http://schemas.microsoft.com/office/spreadsheetml/2017/richdata2" ref="B159:H176">
    <sortCondition ref="H158:H176"/>
  </sortState>
  <tableColumns count="9">
    <tableColumn id="15" xr3:uid="{6AB59FEA-50F0-4521-8280-4BD1B1C9FEF0}" name="Sr. No."/>
    <tableColumn id="1" xr3:uid="{92C9676C-70BF-40CD-87B3-32DA5ADFDF2F}" name="League ID" dataDxfId="29"/>
    <tableColumn id="2" xr3:uid="{2BCD92E0-D388-4338-AE47-A31B31DE5739}" name="Leage_Abbrivation_Winbets" dataDxfId="28"/>
    <tableColumn id="3" xr3:uid="{7C5B8A12-71EC-42BF-B04E-CB692BB1EEDA}" name="Team_Abbrivation_Winbets" dataDxfId="27"/>
    <tableColumn id="4" xr3:uid="{6289B474-9259-4686-A105-5101FADCC64E}" name="TeamId_Winbets" dataDxfId="26">
      <calculatedColumnFormula>LOWER(Table578111213[[#This Row],[Leage_Abbrivation_Winbets]]) &amp; "_" &amp; LOWER(Table578111213[[#This Row],[Team_Abbrivation_Winbets]])</calculatedColumnFormula>
    </tableColumn>
    <tableColumn id="5" xr3:uid="{EC4722B2-86A7-43F2-80B3-2BCF75A8AFC5}" name="TeamName_Winbets" dataDxfId="25"/>
    <tableColumn id="6" xr3:uid="{8E399ACB-2C65-48DC-B001-C450F78F98A2}" name="TeamId_Agility" dataDxfId="24"/>
    <tableColumn id="7" xr3:uid="{F1C98284-9C8F-4C59-B9FC-5D3FD71E43B5}" name="TeamName_Agility" dataDxfId="23"/>
    <tableColumn id="8" xr3:uid="{1893D05F-DEBB-4FD9-A87C-909789AA4576}" name="League_agility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3736FE-0A0F-464A-B85E-CA85197D2829}" name="Table57811121314" displayName="Table57811121314" ref="A180:I216" totalsRowShown="0" headerRowDxfId="21" dataDxfId="20">
  <autoFilter ref="A180:I216" xr:uid="{0C3736FE-0A0F-464A-B85E-CA85197D2829}"/>
  <sortState xmlns:xlrd2="http://schemas.microsoft.com/office/spreadsheetml/2017/richdata2" ref="B180:H196">
    <sortCondition ref="H158:H176"/>
  </sortState>
  <tableColumns count="9">
    <tableColumn id="8" xr3:uid="{7167437A-8D84-492A-A32F-81BB69EE3FD7}" name="Sr. No." dataDxfId="19"/>
    <tableColumn id="1" xr3:uid="{91802B52-041B-4DE3-8893-D0AF4D22C8A0}" name="League ID" dataDxfId="18"/>
    <tableColumn id="2" xr3:uid="{8B9D26DD-219A-4FF0-8AD1-DE3EB5A077AB}" name="Leage_Abbrivation_Winbets" dataDxfId="17"/>
    <tableColumn id="3" xr3:uid="{5A4E185F-F1BC-4527-A7A8-268FA345D7CF}" name="Team_Abbrivation_Winbets" dataDxfId="16"/>
    <tableColumn id="4" xr3:uid="{B5010967-76D9-470A-9BF8-94CB9EAACC23}" name="TeamId_Winbets" dataDxfId="15">
      <calculatedColumnFormula>LOWER(Table57811121314[[#This Row],[Leage_Abbrivation_Winbets]]) &amp; "_" &amp; LOWER(Table57811121314[[#This Row],[Team_Abbrivation_Winbets]])</calculatedColumnFormula>
    </tableColumn>
    <tableColumn id="5" xr3:uid="{9F70EAB1-A858-4FF4-BCB6-C2DAAA39861B}" name="TeamName_Winbets" dataDxfId="14"/>
    <tableColumn id="6" xr3:uid="{A0AF097B-0835-4DCD-8C11-C82A8EB6AA4E}" name="TeamId_Agility" dataDxfId="13"/>
    <tableColumn id="7" xr3:uid="{3E04BAF5-9ED8-4630-A2FC-FC77FEBDCDD4}" name="TeamName_Agility" dataDxfId="12"/>
    <tableColumn id="9" xr3:uid="{A08B8A8B-42CC-4DC5-8378-A1D274A6CAB8}" name="League_agility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DE72D5-BE6D-4AB7-80F9-731F3039D940}" name="Table54" displayName="Table54" ref="A1:I199" totalsRowShown="0" headerRowDxfId="10" dataDxfId="9">
  <autoFilter ref="A1:I199" xr:uid="{A4DE72D5-BE6D-4AB7-80F9-731F3039D940}"/>
  <tableColumns count="9">
    <tableColumn id="8" xr3:uid="{F4312C13-AD8B-43A0-80D6-E36D15E94B02}" name="Column1" dataDxfId="8"/>
    <tableColumn id="1" xr3:uid="{72B6C8E7-AE4D-47F7-B300-58933BE694CD}" name="Column2" dataDxfId="7"/>
    <tableColumn id="2" xr3:uid="{9ACE045F-5220-4914-9ADA-6C8A5763C1AB}" name="Column3" dataDxfId="6"/>
    <tableColumn id="3" xr3:uid="{8BF9685E-D890-4349-A0EF-493E3CFB74CB}" name="Column4" dataDxfId="5"/>
    <tableColumn id="4" xr3:uid="{D3BB4141-A769-467B-8A00-3B930297462B}" name="Column5" dataDxfId="4">
      <calculatedColumnFormula>LOWER(Table57811121314[[#This Row],[Leage_Abbrivation_Winbets]]) &amp; "_" &amp; LOWER(Table57811121314[[#This Row],[Team_Abbrivation_Winbets]])</calculatedColumnFormula>
    </tableColumn>
    <tableColumn id="5" xr3:uid="{82101D4F-3D97-4A44-9C77-6A64B082D2AA}" name="Column6" dataDxfId="3"/>
    <tableColumn id="6" xr3:uid="{0E045769-2049-4E59-B09B-84169C73FE6A}" name="Column7" dataDxfId="2"/>
    <tableColumn id="7" xr3:uid="{68141C73-D420-46EF-947C-B9DE296B408B}" name="Column8" dataDxfId="1"/>
    <tableColumn id="9" xr3:uid="{4742AF2C-0CF0-4A16-AF68-281AA2456AED}" name="Column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95A1-B05E-4609-AC59-149043DDFD2B}">
  <dimension ref="A1:I216"/>
  <sheetViews>
    <sheetView topLeftCell="A193" zoomScale="85" zoomScaleNormal="85" workbookViewId="0">
      <selection activeCell="B181" sqref="B181:I216"/>
    </sheetView>
  </sheetViews>
  <sheetFormatPr defaultColWidth="8.85546875" defaultRowHeight="14.45"/>
  <cols>
    <col min="1" max="1" width="12.140625" style="4" bestFit="1" customWidth="1"/>
    <col min="2" max="2" width="14.7109375" style="4" bestFit="1" customWidth="1"/>
    <col min="3" max="3" width="32" style="4" bestFit="1" customWidth="1"/>
    <col min="4" max="4" width="31.7109375" style="4" bestFit="1" customWidth="1"/>
    <col min="5" max="5" width="21.28515625" style="4" bestFit="1" customWidth="1"/>
    <col min="6" max="6" width="25.140625" style="4" bestFit="1" customWidth="1"/>
    <col min="7" max="7" width="19.5703125" style="4" bestFit="1" customWidth="1"/>
    <col min="8" max="8" width="25.140625" style="4" bestFit="1" customWidth="1"/>
    <col min="9" max="16384" width="8.85546875" style="4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1</v>
      </c>
      <c r="B2" s="5">
        <v>15050</v>
      </c>
      <c r="C2" s="5" t="s">
        <v>9</v>
      </c>
      <c r="D2" s="5" t="s">
        <v>10</v>
      </c>
      <c r="E2" s="5" t="str">
        <f>LOWER(Table5[[#This Row],[Leage_Abbrivation_Winbets]]) &amp; "_" &amp; LOWER(Table5[[#This Row],[Team_Abbrivation_Winbets]])</f>
        <v>epl_ars</v>
      </c>
      <c r="F2" s="6" t="s">
        <v>11</v>
      </c>
      <c r="G2" s="5">
        <v>59</v>
      </c>
      <c r="H2" s="6" t="s">
        <v>11</v>
      </c>
      <c r="I2" s="5" t="s">
        <v>12</v>
      </c>
    </row>
    <row r="3" spans="1:9">
      <c r="A3" s="5">
        <v>2</v>
      </c>
      <c r="B3" s="5">
        <v>15050</v>
      </c>
      <c r="C3" s="5" t="s">
        <v>9</v>
      </c>
      <c r="D3" s="5" t="s">
        <v>13</v>
      </c>
      <c r="E3" s="5" t="str">
        <f>LOWER(Table5[[#This Row],[Leage_Abbrivation_Winbets]]) &amp; "_" &amp; LOWER(Table5[[#This Row],[Team_Abbrivation_Winbets]])</f>
        <v>epl_tot</v>
      </c>
      <c r="F3" s="6" t="s">
        <v>14</v>
      </c>
      <c r="G3" s="5">
        <v>92</v>
      </c>
      <c r="H3" s="6" t="s">
        <v>14</v>
      </c>
      <c r="I3" s="5" t="s">
        <v>12</v>
      </c>
    </row>
    <row r="4" spans="1:9">
      <c r="A4" s="5">
        <v>3</v>
      </c>
      <c r="B4" s="5">
        <v>15050</v>
      </c>
      <c r="C4" s="5" t="s">
        <v>9</v>
      </c>
      <c r="D4" s="5" t="s">
        <v>15</v>
      </c>
      <c r="E4" s="5" t="str">
        <f>LOWER(Table5[[#This Row],[Leage_Abbrivation_Winbets]]) &amp; "_" &amp; LOWER(Table5[[#This Row],[Team_Abbrivation_Winbets]])</f>
        <v>epl_mnc</v>
      </c>
      <c r="F4" s="6" t="s">
        <v>16</v>
      </c>
      <c r="G4" s="5">
        <v>93</v>
      </c>
      <c r="H4" s="6" t="s">
        <v>16</v>
      </c>
      <c r="I4" s="5" t="s">
        <v>12</v>
      </c>
    </row>
    <row r="5" spans="1:9">
      <c r="A5" s="5">
        <v>4</v>
      </c>
      <c r="B5" s="5">
        <v>15050</v>
      </c>
      <c r="C5" s="5" t="s">
        <v>9</v>
      </c>
      <c r="D5" s="5" t="s">
        <v>17</v>
      </c>
      <c r="E5" s="5" t="str">
        <f>LOWER(Table5[[#This Row],[Leage_Abbrivation_Winbets]]) &amp; "_" &amp; LOWER(Table5[[#This Row],[Team_Abbrivation_Winbets]])</f>
        <v>epl_cry</v>
      </c>
      <c r="F5" s="6" t="s">
        <v>18</v>
      </c>
      <c r="G5" s="5">
        <v>143</v>
      </c>
      <c r="H5" s="6" t="s">
        <v>18</v>
      </c>
      <c r="I5" s="5" t="s">
        <v>12</v>
      </c>
    </row>
    <row r="6" spans="1:9">
      <c r="A6" s="5">
        <v>5</v>
      </c>
      <c r="B6" s="5">
        <v>15050</v>
      </c>
      <c r="C6" s="5" t="s">
        <v>9</v>
      </c>
      <c r="D6" s="5" t="s">
        <v>19</v>
      </c>
      <c r="E6" s="5" t="str">
        <f>LOWER(Table5[[#This Row],[Leage_Abbrivation_Winbets]]) &amp; "_" &amp; LOWER(Table5[[#This Row],[Team_Abbrivation_Winbets]])</f>
        <v>epl_eve</v>
      </c>
      <c r="F6" s="6" t="s">
        <v>20</v>
      </c>
      <c r="G6" s="5">
        <v>144</v>
      </c>
      <c r="H6" s="6" t="s">
        <v>20</v>
      </c>
      <c r="I6" s="5" t="s">
        <v>12</v>
      </c>
    </row>
    <row r="7" spans="1:9">
      <c r="A7" s="5">
        <v>6</v>
      </c>
      <c r="B7" s="5">
        <v>15050</v>
      </c>
      <c r="C7" s="5" t="s">
        <v>9</v>
      </c>
      <c r="D7" s="5" t="s">
        <v>21</v>
      </c>
      <c r="E7" s="5" t="str">
        <f>LOWER(Table5[[#This Row],[Leage_Abbrivation_Winbets]]) &amp; "_" &amp; LOWER(Table5[[#This Row],[Team_Abbrivation_Winbets]])</f>
        <v>epl_bur</v>
      </c>
      <c r="F7" s="6" t="s">
        <v>22</v>
      </c>
      <c r="G7" s="5">
        <v>145</v>
      </c>
      <c r="H7" s="6" t="s">
        <v>22</v>
      </c>
      <c r="I7" s="5" t="s">
        <v>12</v>
      </c>
    </row>
    <row r="8" spans="1:9">
      <c r="A8" s="5">
        <v>7</v>
      </c>
      <c r="B8" s="5">
        <v>15050</v>
      </c>
      <c r="C8" s="5" t="s">
        <v>9</v>
      </c>
      <c r="D8" s="5" t="s">
        <v>23</v>
      </c>
      <c r="E8" s="5" t="str">
        <f>LOWER(Table5[[#This Row],[Leage_Abbrivation_Winbets]]) &amp; "_" &amp; LOWER(Table5[[#This Row],[Team_Abbrivation_Winbets]])</f>
        <v>epl_bou</v>
      </c>
      <c r="F8" s="6" t="s">
        <v>24</v>
      </c>
      <c r="G8" s="5">
        <v>148</v>
      </c>
      <c r="H8" s="6" t="s">
        <v>24</v>
      </c>
      <c r="I8" s="5" t="s">
        <v>12</v>
      </c>
    </row>
    <row r="9" spans="1:9">
      <c r="A9" s="5">
        <v>8</v>
      </c>
      <c r="B9" s="5">
        <v>15050</v>
      </c>
      <c r="C9" s="5" t="s">
        <v>9</v>
      </c>
      <c r="D9" s="5" t="s">
        <v>25</v>
      </c>
      <c r="E9" s="5" t="str">
        <f>LOWER(Table5[[#This Row],[Leage_Abbrivation_Winbets]]) &amp; "_" &amp; LOWER(Table5[[#This Row],[Team_Abbrivation_Winbets]])</f>
        <v>epl_man</v>
      </c>
      <c r="F9" s="6" t="s">
        <v>26</v>
      </c>
      <c r="G9" s="5">
        <v>149</v>
      </c>
      <c r="H9" s="6" t="s">
        <v>26</v>
      </c>
      <c r="I9" s="5" t="s">
        <v>12</v>
      </c>
    </row>
    <row r="10" spans="1:9">
      <c r="A10" s="5">
        <v>9</v>
      </c>
      <c r="B10" s="5">
        <v>15050</v>
      </c>
      <c r="C10" s="5" t="s">
        <v>9</v>
      </c>
      <c r="D10" s="5" t="s">
        <v>27</v>
      </c>
      <c r="E10" s="5" t="str">
        <f>LOWER(Table5[[#This Row],[Leage_Abbrivation_Winbets]]) &amp; "_" &amp; LOWER(Table5[[#This Row],[Team_Abbrivation_Winbets]])</f>
        <v>epl_liv</v>
      </c>
      <c r="F10" s="6" t="s">
        <v>28</v>
      </c>
      <c r="G10" s="5">
        <v>151</v>
      </c>
      <c r="H10" s="6" t="s">
        <v>28</v>
      </c>
      <c r="I10" s="5" t="s">
        <v>12</v>
      </c>
    </row>
    <row r="11" spans="1:9">
      <c r="A11" s="5">
        <v>10</v>
      </c>
      <c r="B11" s="5">
        <v>15050</v>
      </c>
      <c r="C11" s="5" t="s">
        <v>9</v>
      </c>
      <c r="D11" s="5" t="s">
        <v>29</v>
      </c>
      <c r="E11" s="5" t="str">
        <f>LOWER(Table5[[#This Row],[Leage_Abbrivation_Winbets]]) &amp; "_" &amp; LOWER(Table5[[#This Row],[Team_Abbrivation_Winbets]])</f>
        <v>epl_che</v>
      </c>
      <c r="F11" s="6" t="s">
        <v>30</v>
      </c>
      <c r="G11" s="5">
        <v>152</v>
      </c>
      <c r="H11" s="6" t="s">
        <v>30</v>
      </c>
      <c r="I11" s="5" t="s">
        <v>12</v>
      </c>
    </row>
    <row r="12" spans="1:9">
      <c r="A12" s="5">
        <v>11</v>
      </c>
      <c r="B12" s="5">
        <v>15050</v>
      </c>
      <c r="C12" s="5" t="s">
        <v>9</v>
      </c>
      <c r="D12" s="5" t="s">
        <v>31</v>
      </c>
      <c r="E12" s="5" t="str">
        <f>LOWER(Table5[[#This Row],[Leage_Abbrivation_Winbets]]) &amp; "_" &amp; LOWER(Table5[[#This Row],[Team_Abbrivation_Winbets]])</f>
        <v>epl_whu</v>
      </c>
      <c r="F12" s="6" t="s">
        <v>32</v>
      </c>
      <c r="G12" s="5">
        <v>153</v>
      </c>
      <c r="H12" s="6" t="s">
        <v>32</v>
      </c>
      <c r="I12" s="5" t="s">
        <v>12</v>
      </c>
    </row>
    <row r="13" spans="1:9">
      <c r="A13" s="5">
        <v>12</v>
      </c>
      <c r="B13" s="5">
        <v>15050</v>
      </c>
      <c r="C13" s="5" t="s">
        <v>9</v>
      </c>
      <c r="D13" s="5" t="s">
        <v>33</v>
      </c>
      <c r="E13" s="5" t="str">
        <f>LOWER(Table5[[#This Row],[Leage_Abbrivation_Winbets]]) &amp; "_" &amp; LOWER(Table5[[#This Row],[Team_Abbrivation_Winbets]])</f>
        <v>epl_sun</v>
      </c>
      <c r="F13" s="6" t="s">
        <v>34</v>
      </c>
      <c r="G13" s="5">
        <v>156</v>
      </c>
      <c r="H13" s="6" t="s">
        <v>34</v>
      </c>
      <c r="I13" s="5" t="s">
        <v>12</v>
      </c>
    </row>
    <row r="14" spans="1:9">
      <c r="A14" s="5">
        <v>13</v>
      </c>
      <c r="B14" s="5">
        <v>15050</v>
      </c>
      <c r="C14" s="5" t="s">
        <v>9</v>
      </c>
      <c r="D14" s="5" t="s">
        <v>35</v>
      </c>
      <c r="E14" s="5" t="str">
        <f>LOWER(Table5[[#This Row],[Leage_Abbrivation_Winbets]]) &amp; "_" &amp; LOWER(Table5[[#This Row],[Team_Abbrivation_Winbets]])</f>
        <v>epl_new</v>
      </c>
      <c r="F14" s="6" t="s">
        <v>36</v>
      </c>
      <c r="G14" s="5">
        <v>157</v>
      </c>
      <c r="H14" s="6" t="s">
        <v>36</v>
      </c>
      <c r="I14" s="5" t="s">
        <v>12</v>
      </c>
    </row>
    <row r="15" spans="1:9">
      <c r="A15" s="5">
        <v>14</v>
      </c>
      <c r="B15" s="5">
        <v>15050</v>
      </c>
      <c r="C15" s="5" t="s">
        <v>9</v>
      </c>
      <c r="D15" s="5" t="s">
        <v>37</v>
      </c>
      <c r="E15" s="5" t="str">
        <f>LOWER(Table5[[#This Row],[Leage_Abbrivation_Winbets]]) &amp; "_" &amp; LOWER(Table5[[#This Row],[Team_Abbrivation_Winbets]])</f>
        <v>epl_avl</v>
      </c>
      <c r="F15" s="6" t="s">
        <v>38</v>
      </c>
      <c r="G15" s="5">
        <v>158</v>
      </c>
      <c r="H15" s="6" t="s">
        <v>38</v>
      </c>
      <c r="I15" s="5" t="s">
        <v>12</v>
      </c>
    </row>
    <row r="16" spans="1:9">
      <c r="A16" s="5">
        <v>15</v>
      </c>
      <c r="B16" s="5">
        <v>15050</v>
      </c>
      <c r="C16" s="5" t="s">
        <v>9</v>
      </c>
      <c r="D16" s="5" t="s">
        <v>39</v>
      </c>
      <c r="E16" s="5" t="str">
        <f>LOWER(Table5[[#This Row],[Leage_Abbrivation_Winbets]]) &amp; "_" &amp; LOWER(Table5[[#This Row],[Team_Abbrivation_Winbets]])</f>
        <v>epl_ful</v>
      </c>
      <c r="F16" s="6" t="s">
        <v>40</v>
      </c>
      <c r="G16" s="5">
        <v>162</v>
      </c>
      <c r="H16" s="6" t="s">
        <v>40</v>
      </c>
      <c r="I16" s="5" t="s">
        <v>12</v>
      </c>
    </row>
    <row r="17" spans="1:9">
      <c r="A17" s="5">
        <v>16</v>
      </c>
      <c r="B17" s="5">
        <v>15050</v>
      </c>
      <c r="C17" s="5" t="s">
        <v>9</v>
      </c>
      <c r="D17" s="5" t="s">
        <v>41</v>
      </c>
      <c r="E17" s="5" t="str">
        <f>LOWER(Table5[[#This Row],[Leage_Abbrivation_Winbets]]) &amp; "_" &amp; LOWER(Table5[[#This Row],[Team_Abbrivation_Winbets]])</f>
        <v>epl_bha</v>
      </c>
      <c r="F17" s="6" t="s">
        <v>42</v>
      </c>
      <c r="G17" s="5">
        <v>209</v>
      </c>
      <c r="H17" s="6" t="s">
        <v>42</v>
      </c>
      <c r="I17" s="5" t="s">
        <v>12</v>
      </c>
    </row>
    <row r="18" spans="1:9">
      <c r="A18" s="5">
        <v>17</v>
      </c>
      <c r="B18" s="5">
        <v>15050</v>
      </c>
      <c r="C18" s="5" t="s">
        <v>9</v>
      </c>
      <c r="D18" s="5" t="s">
        <v>43</v>
      </c>
      <c r="E18" s="5" t="str">
        <f>LOWER(Table5[[#This Row],[Leage_Abbrivation_Winbets]]) &amp; "_" &amp; LOWER(Table5[[#This Row],[Team_Abbrivation_Winbets]])</f>
        <v>epl_nfo</v>
      </c>
      <c r="F18" s="6" t="s">
        <v>44</v>
      </c>
      <c r="G18" s="5">
        <v>211</v>
      </c>
      <c r="H18" s="6" t="s">
        <v>44</v>
      </c>
      <c r="I18" s="5" t="s">
        <v>12</v>
      </c>
    </row>
    <row r="19" spans="1:9">
      <c r="A19" s="5">
        <v>18</v>
      </c>
      <c r="B19" s="5">
        <v>15050</v>
      </c>
      <c r="C19" s="5" t="s">
        <v>9</v>
      </c>
      <c r="D19" s="5" t="s">
        <v>45</v>
      </c>
      <c r="E19" s="5" t="str">
        <f>LOWER(Table5[[#This Row],[Leage_Abbrivation_Winbets]]) &amp; "_" &amp; LOWER(Table5[[#This Row],[Team_Abbrivation_Winbets]])</f>
        <v>epl_bre</v>
      </c>
      <c r="F19" s="6" t="s">
        <v>46</v>
      </c>
      <c r="G19" s="5">
        <v>218</v>
      </c>
      <c r="H19" s="6" t="s">
        <v>46</v>
      </c>
      <c r="I19" s="5" t="s">
        <v>12</v>
      </c>
    </row>
    <row r="20" spans="1:9">
      <c r="A20" s="5">
        <v>19</v>
      </c>
      <c r="B20" s="5">
        <v>15050</v>
      </c>
      <c r="C20" s="5" t="s">
        <v>9</v>
      </c>
      <c r="D20" s="5" t="s">
        <v>47</v>
      </c>
      <c r="E20" s="5" t="str">
        <f>LOWER(Table5[[#This Row],[Leage_Abbrivation_Winbets]]) &amp; "_" &amp; LOWER(Table5[[#This Row],[Team_Abbrivation_Winbets]])</f>
        <v>epl_lee</v>
      </c>
      <c r="F20" s="6" t="s">
        <v>48</v>
      </c>
      <c r="G20" s="5">
        <v>222</v>
      </c>
      <c r="H20" s="6" t="s">
        <v>48</v>
      </c>
      <c r="I20" s="5" t="s">
        <v>12</v>
      </c>
    </row>
    <row r="21" spans="1:9">
      <c r="A21" s="5">
        <v>20</v>
      </c>
      <c r="B21" s="5">
        <v>15050</v>
      </c>
      <c r="C21" s="5" t="s">
        <v>9</v>
      </c>
      <c r="D21" s="5" t="s">
        <v>49</v>
      </c>
      <c r="E21" s="5" t="str">
        <f>LOWER(Table5[[#This Row],[Leage_Abbrivation_Winbets]]) &amp; "_" &amp; LOWER(Table5[[#This Row],[Team_Abbrivation_Winbets]])</f>
        <v>epl_wol</v>
      </c>
      <c r="F21" s="5" t="s">
        <v>50</v>
      </c>
      <c r="G21" s="5">
        <v>223</v>
      </c>
      <c r="H21" s="5" t="s">
        <v>50</v>
      </c>
      <c r="I21" s="5" t="s">
        <v>12</v>
      </c>
    </row>
    <row r="22" spans="1:9">
      <c r="A22" s="2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  <c r="H22" s="5" t="s">
        <v>7</v>
      </c>
      <c r="I22" s="5" t="s">
        <v>8</v>
      </c>
    </row>
    <row r="23" spans="1:9">
      <c r="A23" s="5">
        <v>1</v>
      </c>
      <c r="B23" s="5">
        <v>14956</v>
      </c>
      <c r="C23" s="5" t="s">
        <v>51</v>
      </c>
      <c r="D23" s="5" t="s">
        <v>52</v>
      </c>
      <c r="E23" s="5" t="str">
        <f>LOWER(Table57[[#This Row],[Leage_Abbrivation_Winbets]]) &amp; "_" &amp; LOWER(Table57[[#This Row],[Team_Abbrivation_Winbets]])</f>
        <v>laliga_vil</v>
      </c>
      <c r="F23" t="s">
        <v>53</v>
      </c>
      <c r="G23" s="5">
        <v>76</v>
      </c>
      <c r="H23" t="s">
        <v>53</v>
      </c>
      <c r="I23" s="5" t="s">
        <v>54</v>
      </c>
    </row>
    <row r="24" spans="1:9">
      <c r="A24" s="5">
        <v>2</v>
      </c>
      <c r="B24" s="5">
        <v>14956</v>
      </c>
      <c r="C24" s="5" t="s">
        <v>51</v>
      </c>
      <c r="D24" s="5" t="s">
        <v>55</v>
      </c>
      <c r="E24" s="5" t="str">
        <f>LOWER(Table57[[#This Row],[Leage_Abbrivation_Winbets]]) &amp; "_" &amp; LOWER(Table57[[#This Row],[Team_Abbrivation_Winbets]])</f>
        <v>laliga_bar</v>
      </c>
      <c r="F24" t="s">
        <v>56</v>
      </c>
      <c r="G24" s="5">
        <v>83</v>
      </c>
      <c r="H24" t="s">
        <v>57</v>
      </c>
      <c r="I24" s="5" t="s">
        <v>54</v>
      </c>
    </row>
    <row r="25" spans="1:9">
      <c r="A25" s="5">
        <v>3</v>
      </c>
      <c r="B25" s="5">
        <v>14956</v>
      </c>
      <c r="C25" s="5" t="s">
        <v>51</v>
      </c>
      <c r="D25" s="5" t="s">
        <v>58</v>
      </c>
      <c r="E25" s="5" t="str">
        <f>LOWER(Table57[[#This Row],[Leage_Abbrivation_Winbets]]) &amp; "_" &amp; LOWER(Table57[[#This Row],[Team_Abbrivation_Winbets]])</f>
        <v>laliga_rma</v>
      </c>
      <c r="F25" t="s">
        <v>59</v>
      </c>
      <c r="G25" s="5">
        <v>84</v>
      </c>
      <c r="H25" t="s">
        <v>59</v>
      </c>
      <c r="I25" s="5" t="s">
        <v>54</v>
      </c>
    </row>
    <row r="26" spans="1:9">
      <c r="A26" s="5">
        <v>4</v>
      </c>
      <c r="B26" s="5">
        <v>14956</v>
      </c>
      <c r="C26" s="5" t="s">
        <v>51</v>
      </c>
      <c r="D26" s="5" t="s">
        <v>60</v>
      </c>
      <c r="E26" s="5" t="str">
        <f>LOWER(Table57[[#This Row],[Leage_Abbrivation_Winbets]]) &amp; "_" &amp; LOWER(Table57[[#This Row],[Team_Abbrivation_Winbets]])</f>
        <v>laliga_sev</v>
      </c>
      <c r="F26" t="s">
        <v>61</v>
      </c>
      <c r="G26" s="5">
        <v>98</v>
      </c>
      <c r="H26" t="s">
        <v>62</v>
      </c>
      <c r="I26" s="5" t="s">
        <v>54</v>
      </c>
    </row>
    <row r="27" spans="1:9">
      <c r="A27" s="5">
        <v>5</v>
      </c>
      <c r="B27" s="5">
        <v>14956</v>
      </c>
      <c r="C27" s="5" t="s">
        <v>51</v>
      </c>
      <c r="D27" s="5" t="s">
        <v>63</v>
      </c>
      <c r="E27" s="5" t="str">
        <f>LOWER(Table57[[#This Row],[Leage_Abbrivation_Winbets]]) &amp; "_" &amp; LOWER(Table57[[#This Row],[Team_Abbrivation_Winbets]])</f>
        <v>laliga_atm</v>
      </c>
      <c r="F27" t="s">
        <v>64</v>
      </c>
      <c r="G27" s="5">
        <v>117</v>
      </c>
      <c r="H27" t="s">
        <v>64</v>
      </c>
      <c r="I27" s="5" t="s">
        <v>54</v>
      </c>
    </row>
    <row r="28" spans="1:9">
      <c r="A28" s="5">
        <v>6</v>
      </c>
      <c r="B28" s="5">
        <v>14956</v>
      </c>
      <c r="C28" s="5" t="s">
        <v>51</v>
      </c>
      <c r="D28" s="5" t="s">
        <v>65</v>
      </c>
      <c r="E28" s="5" t="str">
        <f>LOWER(Table57[[#This Row],[Leage_Abbrivation_Winbets]]) &amp; "_" &amp; LOWER(Table57[[#This Row],[Team_Abbrivation_Winbets]])</f>
        <v>laliga_ala</v>
      </c>
      <c r="F28" t="s">
        <v>66</v>
      </c>
      <c r="G28" s="5">
        <v>277</v>
      </c>
      <c r="H28" t="s">
        <v>67</v>
      </c>
      <c r="I28" s="5" t="s">
        <v>54</v>
      </c>
    </row>
    <row r="29" spans="1:9">
      <c r="A29" s="5">
        <v>7</v>
      </c>
      <c r="B29" s="5">
        <v>14956</v>
      </c>
      <c r="C29" s="5" t="s">
        <v>51</v>
      </c>
      <c r="D29" s="5" t="s">
        <v>68</v>
      </c>
      <c r="E29" s="5" t="str">
        <f>LOWER(Table57[[#This Row],[Leage_Abbrivation_Winbets]]) &amp; "_" &amp; LOWER(Table57[[#This Row],[Team_Abbrivation_Winbets]])</f>
        <v>laliga_esp</v>
      </c>
      <c r="F29" t="s">
        <v>69</v>
      </c>
      <c r="G29" s="5">
        <v>280</v>
      </c>
      <c r="H29" t="s">
        <v>70</v>
      </c>
      <c r="I29" s="5" t="s">
        <v>54</v>
      </c>
    </row>
    <row r="30" spans="1:9">
      <c r="A30" s="5">
        <v>8</v>
      </c>
      <c r="B30" s="5">
        <v>14956</v>
      </c>
      <c r="C30" s="5" t="s">
        <v>51</v>
      </c>
      <c r="D30" s="5" t="s">
        <v>71</v>
      </c>
      <c r="E30" s="5" t="str">
        <f>LOWER(Table57[[#This Row],[Leage_Abbrivation_Winbets]]) &amp; "_" &amp; LOWER(Table57[[#This Row],[Team_Abbrivation_Winbets]])</f>
        <v>laliga_cel</v>
      </c>
      <c r="F30" t="s">
        <v>72</v>
      </c>
      <c r="G30" s="5">
        <v>281</v>
      </c>
      <c r="H30" t="s">
        <v>73</v>
      </c>
      <c r="I30" s="5" t="s">
        <v>54</v>
      </c>
    </row>
    <row r="31" spans="1:9">
      <c r="A31" s="5">
        <v>9</v>
      </c>
      <c r="B31" s="5">
        <v>14956</v>
      </c>
      <c r="C31" s="5" t="s">
        <v>51</v>
      </c>
      <c r="D31" s="5" t="s">
        <v>74</v>
      </c>
      <c r="E31" s="5" t="str">
        <f>LOWER(Table57[[#This Row],[Leage_Abbrivation_Winbets]]) &amp; "_" &amp; LOWER(Table57[[#This Row],[Team_Abbrivation_Winbets]])</f>
        <v>laliga_bet</v>
      </c>
      <c r="F31" t="s">
        <v>75</v>
      </c>
      <c r="G31" s="5">
        <v>284</v>
      </c>
      <c r="H31" t="s">
        <v>75</v>
      </c>
      <c r="I31" s="5" t="s">
        <v>54</v>
      </c>
    </row>
    <row r="32" spans="1:9">
      <c r="A32" s="5">
        <v>10</v>
      </c>
      <c r="B32" s="5">
        <v>14956</v>
      </c>
      <c r="C32" s="5" t="s">
        <v>51</v>
      </c>
      <c r="D32" s="5" t="s">
        <v>76</v>
      </c>
      <c r="E32" s="5" t="str">
        <f>LOWER(Table57[[#This Row],[Leage_Abbrivation_Winbets]]) &amp; "_" &amp; LOWER(Table57[[#This Row],[Team_Abbrivation_Winbets]])</f>
        <v>laliga_ath</v>
      </c>
      <c r="F32" t="s">
        <v>77</v>
      </c>
      <c r="G32" s="5">
        <v>285</v>
      </c>
      <c r="H32" t="s">
        <v>78</v>
      </c>
      <c r="I32" s="5" t="s">
        <v>54</v>
      </c>
    </row>
    <row r="33" spans="1:9">
      <c r="A33" s="5">
        <v>11</v>
      </c>
      <c r="B33" s="5">
        <v>14956</v>
      </c>
      <c r="C33" s="5" t="s">
        <v>51</v>
      </c>
      <c r="D33" s="5" t="s">
        <v>79</v>
      </c>
      <c r="E33" s="5" t="str">
        <f>LOWER(Table57[[#This Row],[Leage_Abbrivation_Winbets]]) &amp; "_" &amp; LOWER(Table57[[#This Row],[Team_Abbrivation_Winbets]])</f>
        <v>laliga_osa</v>
      </c>
      <c r="F33" t="s">
        <v>80</v>
      </c>
      <c r="G33" s="5">
        <v>287</v>
      </c>
      <c r="H33" t="s">
        <v>81</v>
      </c>
      <c r="I33" s="5" t="s">
        <v>54</v>
      </c>
    </row>
    <row r="34" spans="1:9">
      <c r="A34" s="5">
        <v>12</v>
      </c>
      <c r="B34" s="5">
        <v>14956</v>
      </c>
      <c r="C34" s="5" t="s">
        <v>51</v>
      </c>
      <c r="D34" s="5" t="s">
        <v>82</v>
      </c>
      <c r="E34" s="5" t="str">
        <f>LOWER(Table57[[#This Row],[Leage_Abbrivation_Winbets]]) &amp; "_" &amp; LOWER(Table57[[#This Row],[Team_Abbrivation_Winbets]])</f>
        <v>laliga_val</v>
      </c>
      <c r="F34" t="s">
        <v>83</v>
      </c>
      <c r="G34" s="5">
        <v>288</v>
      </c>
      <c r="H34" t="s">
        <v>84</v>
      </c>
      <c r="I34" s="5" t="s">
        <v>54</v>
      </c>
    </row>
    <row r="35" spans="1:9">
      <c r="A35" s="5">
        <v>13</v>
      </c>
      <c r="B35" s="5">
        <v>14956</v>
      </c>
      <c r="C35" s="5" t="s">
        <v>51</v>
      </c>
      <c r="D35" s="5" t="s">
        <v>85</v>
      </c>
      <c r="E35" s="5" t="str">
        <f>LOWER(Table57[[#This Row],[Leage_Abbrivation_Winbets]]) &amp; "_" &amp; LOWER(Table57[[#This Row],[Team_Abbrivation_Winbets]])</f>
        <v>laliga_rso</v>
      </c>
      <c r="F35" t="s">
        <v>86</v>
      </c>
      <c r="G35" s="5">
        <v>290</v>
      </c>
      <c r="H35" t="s">
        <v>86</v>
      </c>
      <c r="I35" s="5" t="s">
        <v>54</v>
      </c>
    </row>
    <row r="36" spans="1:9">
      <c r="A36" s="5">
        <v>14</v>
      </c>
      <c r="B36" s="5">
        <v>14956</v>
      </c>
      <c r="C36" s="5" t="s">
        <v>51</v>
      </c>
      <c r="D36" s="5" t="s">
        <v>87</v>
      </c>
      <c r="E36" s="5" t="str">
        <f>LOWER(Table57[[#This Row],[Leage_Abbrivation_Winbets]]) &amp; "_" &amp; LOWER(Table57[[#This Row],[Team_Abbrivation_Winbets]])</f>
        <v>laliga_ray</v>
      </c>
      <c r="F36" t="s">
        <v>88</v>
      </c>
      <c r="G36" s="5">
        <v>291</v>
      </c>
      <c r="H36" t="s">
        <v>88</v>
      </c>
      <c r="I36" s="5" t="s">
        <v>54</v>
      </c>
    </row>
    <row r="37" spans="1:9">
      <c r="A37" s="5">
        <v>15</v>
      </c>
      <c r="B37" s="5">
        <v>14956</v>
      </c>
      <c r="C37" s="5" t="s">
        <v>51</v>
      </c>
      <c r="D37" s="5" t="s">
        <v>89</v>
      </c>
      <c r="E37" s="5" t="str">
        <f>LOWER(Table57[[#This Row],[Leage_Abbrivation_Winbets]]) &amp; "_" &amp; LOWER(Table57[[#This Row],[Team_Abbrivation_Winbets]])</f>
        <v>laliga_lev</v>
      </c>
      <c r="F37" t="s">
        <v>90</v>
      </c>
      <c r="G37" s="5">
        <v>292</v>
      </c>
      <c r="H37" t="s">
        <v>91</v>
      </c>
      <c r="I37" s="5" t="s">
        <v>54</v>
      </c>
    </row>
    <row r="38" spans="1:9">
      <c r="A38" s="5">
        <v>16</v>
      </c>
      <c r="B38" s="5">
        <v>14956</v>
      </c>
      <c r="C38" s="5" t="s">
        <v>51</v>
      </c>
      <c r="D38" s="5" t="s">
        <v>92</v>
      </c>
      <c r="E38" s="5" t="str">
        <f>LOWER(Table57[[#This Row],[Leage_Abbrivation_Winbets]]) &amp; "_" &amp; LOWER(Table57[[#This Row],[Team_Abbrivation_Winbets]])</f>
        <v>laliga_get</v>
      </c>
      <c r="F38" t="s">
        <v>93</v>
      </c>
      <c r="G38" s="5">
        <v>293</v>
      </c>
      <c r="H38" t="s">
        <v>94</v>
      </c>
      <c r="I38" s="5" t="s">
        <v>54</v>
      </c>
    </row>
    <row r="39" spans="1:9">
      <c r="A39" s="5">
        <v>17</v>
      </c>
      <c r="B39" s="5">
        <v>14956</v>
      </c>
      <c r="C39" s="5" t="s">
        <v>51</v>
      </c>
      <c r="D39" s="5" t="s">
        <v>95</v>
      </c>
      <c r="E39" s="5" t="str">
        <f>LOWER(Table57[[#This Row],[Leage_Abbrivation_Winbets]]) &amp; "_" &amp; LOWER(Table57[[#This Row],[Team_Abbrivation_Winbets]])</f>
        <v>laliga_elc</v>
      </c>
      <c r="F39" t="s">
        <v>96</v>
      </c>
      <c r="G39" s="5">
        <v>295</v>
      </c>
      <c r="H39" t="s">
        <v>97</v>
      </c>
      <c r="I39" s="5" t="s">
        <v>54</v>
      </c>
    </row>
    <row r="40" spans="1:9">
      <c r="A40" s="5">
        <v>18</v>
      </c>
      <c r="B40" s="5">
        <v>14956</v>
      </c>
      <c r="C40" s="5" t="s">
        <v>51</v>
      </c>
      <c r="D40" s="5" t="s">
        <v>98</v>
      </c>
      <c r="E40" s="5" t="str">
        <f>LOWER(Table57[[#This Row],[Leage_Abbrivation_Winbets]]) &amp; "_" &amp; LOWER(Table57[[#This Row],[Team_Abbrivation_Winbets]])</f>
        <v>laliga_mll</v>
      </c>
      <c r="F40" t="s">
        <v>99</v>
      </c>
      <c r="G40" s="5">
        <v>298</v>
      </c>
      <c r="H40" t="s">
        <v>100</v>
      </c>
      <c r="I40" s="5" t="s">
        <v>54</v>
      </c>
    </row>
    <row r="41" spans="1:9">
      <c r="A41" s="5">
        <v>19</v>
      </c>
      <c r="B41" s="5">
        <v>14956</v>
      </c>
      <c r="C41" s="5" t="s">
        <v>51</v>
      </c>
      <c r="D41" s="5" t="s">
        <v>101</v>
      </c>
      <c r="E41" s="5" t="str">
        <f>LOWER(Table57[[#This Row],[Leage_Abbrivation_Winbets]]) &amp; "_" &amp; LOWER(Table57[[#This Row],[Team_Abbrivation_Winbets]])</f>
        <v>laliga_ovi</v>
      </c>
      <c r="F41" t="s">
        <v>102</v>
      </c>
      <c r="G41" s="5">
        <v>309</v>
      </c>
      <c r="H41" t="s">
        <v>102</v>
      </c>
      <c r="I41" s="5" t="s">
        <v>54</v>
      </c>
    </row>
    <row r="42" spans="1:9">
      <c r="A42" s="5">
        <v>20</v>
      </c>
      <c r="B42" s="5">
        <v>14956</v>
      </c>
      <c r="C42" s="5" t="s">
        <v>51</v>
      </c>
      <c r="D42" s="5" t="s">
        <v>103</v>
      </c>
      <c r="E42" s="5" t="str">
        <f>LOWER(Table57[[#This Row],[Leage_Abbrivation_Winbets]]) &amp; "_" &amp; LOWER(Table57[[#This Row],[Team_Abbrivation_Winbets]])</f>
        <v>laliga_gir</v>
      </c>
      <c r="F42" t="s">
        <v>104</v>
      </c>
      <c r="G42" s="5">
        <v>312</v>
      </c>
      <c r="H42" t="s">
        <v>105</v>
      </c>
      <c r="I42" s="5" t="s">
        <v>54</v>
      </c>
    </row>
    <row r="43" spans="1:9">
      <c r="A43" s="2" t="s">
        <v>0</v>
      </c>
      <c r="B43" s="5" t="s">
        <v>1</v>
      </c>
      <c r="C43" s="5" t="s">
        <v>2</v>
      </c>
      <c r="D43" s="5" t="s">
        <v>3</v>
      </c>
      <c r="E43" s="5" t="s">
        <v>4</v>
      </c>
      <c r="F43" s="5" t="s">
        <v>5</v>
      </c>
      <c r="G43" s="5" t="s">
        <v>6</v>
      </c>
      <c r="H43" s="5" t="s">
        <v>7</v>
      </c>
      <c r="I43" s="5" t="s">
        <v>8</v>
      </c>
    </row>
    <row r="44" spans="1:9">
      <c r="A44" s="5">
        <v>1</v>
      </c>
      <c r="B44" s="5">
        <v>15068</v>
      </c>
      <c r="C44" s="5" t="s">
        <v>106</v>
      </c>
      <c r="D44" s="5" t="s">
        <v>107</v>
      </c>
      <c r="E44" s="5" t="str">
        <f>LOWER(Table578[[#This Row],[Leage_Abbrivation_Winbets]]) &amp; "_" &amp; LOWER(Table578[[#This Row],[Team_Abbrivation_Winbets]])</f>
        <v>seriea_nap</v>
      </c>
      <c r="F44" t="s">
        <v>108</v>
      </c>
      <c r="G44" s="4">
        <v>74</v>
      </c>
      <c r="H44" t="s">
        <v>108</v>
      </c>
      <c r="I44" s="5" t="s">
        <v>109</v>
      </c>
    </row>
    <row r="45" spans="1:9">
      <c r="A45" s="5">
        <v>2</v>
      </c>
      <c r="B45" s="5">
        <v>15068</v>
      </c>
      <c r="C45" s="5" t="s">
        <v>106</v>
      </c>
      <c r="D45" s="5" t="s">
        <v>110</v>
      </c>
      <c r="E45" s="5" t="str">
        <f>LOWER(Table578[[#This Row],[Leage_Abbrivation_Winbets]]) &amp; "_" &amp; LOWER(Table578[[#This Row],[Team_Abbrivation_Winbets]])</f>
        <v>seriea_juv</v>
      </c>
      <c r="F45" t="s">
        <v>111</v>
      </c>
      <c r="G45" s="4">
        <v>90</v>
      </c>
      <c r="H45" t="s">
        <v>111</v>
      </c>
      <c r="I45" s="5" t="s">
        <v>109</v>
      </c>
    </row>
    <row r="46" spans="1:9">
      <c r="A46" s="5">
        <v>3</v>
      </c>
      <c r="B46" s="5">
        <v>15068</v>
      </c>
      <c r="C46" s="5" t="s">
        <v>106</v>
      </c>
      <c r="D46" s="5" t="s">
        <v>112</v>
      </c>
      <c r="E46" s="5" t="str">
        <f>LOWER(Table578[[#This Row],[Leage_Abbrivation_Winbets]]) &amp; "_" &amp; LOWER(Table578[[#This Row],[Team_Abbrivation_Winbets]])</f>
        <v>seriea_roma</v>
      </c>
      <c r="F46" t="s">
        <v>113</v>
      </c>
      <c r="G46" s="4">
        <v>113</v>
      </c>
      <c r="H46" t="s">
        <v>113</v>
      </c>
      <c r="I46" s="5" t="s">
        <v>109</v>
      </c>
    </row>
    <row r="47" spans="1:9">
      <c r="A47" s="5">
        <v>4</v>
      </c>
      <c r="B47" s="5">
        <v>15068</v>
      </c>
      <c r="C47" s="5" t="s">
        <v>106</v>
      </c>
      <c r="D47" s="5" t="s">
        <v>114</v>
      </c>
      <c r="E47" s="5" t="str">
        <f>LOWER(Table578[[#This Row],[Leage_Abbrivation_Winbets]]) &amp; "_" &amp; LOWER(Table578[[#This Row],[Team_Abbrivation_Winbets]])</f>
        <v>seriea_cag</v>
      </c>
      <c r="F47" t="s">
        <v>115</v>
      </c>
      <c r="G47" s="4">
        <v>455</v>
      </c>
      <c r="H47" t="s">
        <v>115</v>
      </c>
      <c r="I47" s="5" t="s">
        <v>109</v>
      </c>
    </row>
    <row r="48" spans="1:9">
      <c r="A48" s="5">
        <v>5</v>
      </c>
      <c r="B48" s="5">
        <v>15068</v>
      </c>
      <c r="C48" s="5" t="s">
        <v>106</v>
      </c>
      <c r="D48" s="5" t="s">
        <v>116</v>
      </c>
      <c r="E48" s="5" t="str">
        <f>LOWER(Table578[[#This Row],[Leage_Abbrivation_Winbets]]) &amp; "_" &amp; LOWER(Table578[[#This Row],[Team_Abbrivation_Winbets]])</f>
        <v>seriea_tor</v>
      </c>
      <c r="F48" t="s">
        <v>117</v>
      </c>
      <c r="G48" s="4">
        <v>456</v>
      </c>
      <c r="H48" t="s">
        <v>117</v>
      </c>
      <c r="I48" s="5" t="s">
        <v>109</v>
      </c>
    </row>
    <row r="49" spans="1:9">
      <c r="A49" s="5">
        <v>6</v>
      </c>
      <c r="B49" s="5">
        <v>15068</v>
      </c>
      <c r="C49" s="5" t="s">
        <v>106</v>
      </c>
      <c r="D49" s="5" t="s">
        <v>118</v>
      </c>
      <c r="E49" s="5" t="str">
        <f>LOWER(Table578[[#This Row],[Leage_Abbrivation_Winbets]]) &amp; "_" &amp; LOWER(Table578[[#This Row],[Team_Abbrivation_Winbets]])</f>
        <v>seriea_gen</v>
      </c>
      <c r="F49" t="s">
        <v>119</v>
      </c>
      <c r="G49" s="4">
        <v>460</v>
      </c>
      <c r="H49" t="s">
        <v>119</v>
      </c>
      <c r="I49" s="5" t="s">
        <v>109</v>
      </c>
    </row>
    <row r="50" spans="1:9">
      <c r="A50" s="5">
        <v>7</v>
      </c>
      <c r="B50" s="5">
        <v>15068</v>
      </c>
      <c r="C50" s="5" t="s">
        <v>106</v>
      </c>
      <c r="D50" s="5" t="s">
        <v>120</v>
      </c>
      <c r="E50" s="5" t="str">
        <f>LOWER(Table578[[#This Row],[Leage_Abbrivation_Winbets]]) &amp; "_" &amp; LOWER(Table578[[#This Row],[Team_Abbrivation_Winbets]])</f>
        <v>seriea_mil</v>
      </c>
      <c r="F50" t="s">
        <v>121</v>
      </c>
      <c r="G50" s="4">
        <v>461</v>
      </c>
      <c r="H50" t="s">
        <v>121</v>
      </c>
      <c r="I50" s="5" t="s">
        <v>109</v>
      </c>
    </row>
    <row r="51" spans="1:9">
      <c r="A51" s="5">
        <v>8</v>
      </c>
      <c r="B51" s="5">
        <v>15068</v>
      </c>
      <c r="C51" s="5" t="s">
        <v>106</v>
      </c>
      <c r="D51" s="5" t="s">
        <v>122</v>
      </c>
      <c r="E51" s="5" t="str">
        <f>LOWER(Table578[[#This Row],[Leage_Abbrivation_Winbets]]) &amp; "_" &amp; LOWER(Table578[[#This Row],[Team_Abbrivation_Winbets]])</f>
        <v>seriea_laz</v>
      </c>
      <c r="F51" t="s">
        <v>123</v>
      </c>
      <c r="G51" s="4">
        <v>463</v>
      </c>
      <c r="H51" t="s">
        <v>123</v>
      </c>
      <c r="I51" s="5" t="s">
        <v>109</v>
      </c>
    </row>
    <row r="52" spans="1:9">
      <c r="A52" s="5">
        <v>9</v>
      </c>
      <c r="B52" s="5">
        <v>15068</v>
      </c>
      <c r="C52" s="5" t="s">
        <v>106</v>
      </c>
      <c r="D52" s="5" t="s">
        <v>124</v>
      </c>
      <c r="E52" s="5" t="str">
        <f>LOWER(Table578[[#This Row],[Leage_Abbrivation_Winbets]]) &amp; "_" &amp; LOWER(Table578[[#This Row],[Team_Abbrivation_Winbets]])</f>
        <v>seriea_bol</v>
      </c>
      <c r="F52" t="s">
        <v>125</v>
      </c>
      <c r="G52" s="4">
        <v>467</v>
      </c>
      <c r="H52" t="s">
        <v>125</v>
      </c>
      <c r="I52" s="5" t="s">
        <v>109</v>
      </c>
    </row>
    <row r="53" spans="1:9">
      <c r="A53" s="5">
        <v>10</v>
      </c>
      <c r="B53" s="5">
        <v>15068</v>
      </c>
      <c r="C53" s="5" t="s">
        <v>106</v>
      </c>
      <c r="D53" s="5" t="s">
        <v>126</v>
      </c>
      <c r="E53" s="5" t="str">
        <f>LOWER(Table578[[#This Row],[Leage_Abbrivation_Winbets]]) &amp; "_" &amp; LOWER(Table578[[#This Row],[Team_Abbrivation_Winbets]])</f>
        <v>seriea_sas</v>
      </c>
      <c r="F53" t="s">
        <v>127</v>
      </c>
      <c r="G53" s="4">
        <v>469</v>
      </c>
      <c r="H53" t="s">
        <v>127</v>
      </c>
      <c r="I53" s="5" t="s">
        <v>109</v>
      </c>
    </row>
    <row r="54" spans="1:9">
      <c r="A54" s="5">
        <v>11</v>
      </c>
      <c r="B54" s="5">
        <v>15068</v>
      </c>
      <c r="C54" s="5" t="s">
        <v>106</v>
      </c>
      <c r="D54" s="5" t="s">
        <v>120</v>
      </c>
      <c r="E54" s="5" t="str">
        <f>LOWER(Table578[[#This Row],[Leage_Abbrivation_Winbets]]) &amp; "_" &amp; LOWER(Table578[[#This Row],[Team_Abbrivation_Winbets]])</f>
        <v>seriea_mil</v>
      </c>
      <c r="F54" t="s">
        <v>121</v>
      </c>
      <c r="G54" s="4">
        <v>470</v>
      </c>
      <c r="H54" t="s">
        <v>128</v>
      </c>
      <c r="I54" s="5" t="s">
        <v>109</v>
      </c>
    </row>
    <row r="55" spans="1:9">
      <c r="A55" s="5">
        <v>12</v>
      </c>
      <c r="B55" s="5">
        <v>15068</v>
      </c>
      <c r="C55" s="5" t="s">
        <v>106</v>
      </c>
      <c r="D55" s="5" t="s">
        <v>129</v>
      </c>
      <c r="E55" s="5" t="str">
        <f>LOWER(Table578[[#This Row],[Leage_Abbrivation_Winbets]]) &amp; "_" &amp; LOWER(Table578[[#This Row],[Team_Abbrivation_Winbets]])</f>
        <v>seriea_fio</v>
      </c>
      <c r="F55" t="s">
        <v>130</v>
      </c>
      <c r="G55" s="4">
        <v>471</v>
      </c>
      <c r="H55" t="s">
        <v>130</v>
      </c>
      <c r="I55" s="5" t="s">
        <v>109</v>
      </c>
    </row>
    <row r="56" spans="1:9">
      <c r="A56" s="5">
        <v>13</v>
      </c>
      <c r="B56" s="5">
        <v>15068</v>
      </c>
      <c r="C56" s="5" t="s">
        <v>106</v>
      </c>
      <c r="D56" s="5" t="s">
        <v>131</v>
      </c>
      <c r="E56" s="5" t="str">
        <f>LOWER(Table578[[#This Row],[Leage_Abbrivation_Winbets]]) &amp; "_" &amp; LOWER(Table578[[#This Row],[Team_Abbrivation_Winbets]])</f>
        <v>seriea_par</v>
      </c>
      <c r="F56" t="s">
        <v>132</v>
      </c>
      <c r="G56" s="4">
        <v>476</v>
      </c>
      <c r="H56" t="s">
        <v>132</v>
      </c>
      <c r="I56" s="5" t="s">
        <v>109</v>
      </c>
    </row>
    <row r="57" spans="1:9">
      <c r="A57" s="5">
        <v>14</v>
      </c>
      <c r="B57" s="5">
        <v>15068</v>
      </c>
      <c r="C57" s="5" t="s">
        <v>106</v>
      </c>
      <c r="D57" s="5" t="s">
        <v>133</v>
      </c>
      <c r="E57" s="5" t="str">
        <f>LOWER(Table578[[#This Row],[Leage_Abbrivation_Winbets]]) &amp; "_" &amp; LOWER(Table578[[#This Row],[Team_Abbrivation_Winbets]])</f>
        <v>seriea_pis</v>
      </c>
      <c r="F57" t="s">
        <v>134</v>
      </c>
      <c r="G57" s="4">
        <v>507</v>
      </c>
      <c r="H57" t="s">
        <v>134</v>
      </c>
      <c r="I57" s="5" t="s">
        <v>109</v>
      </c>
    </row>
    <row r="58" spans="1:9">
      <c r="A58" s="5">
        <v>15</v>
      </c>
      <c r="B58" s="5">
        <v>15068</v>
      </c>
      <c r="C58" s="5" t="s">
        <v>106</v>
      </c>
      <c r="D58" s="5" t="s">
        <v>135</v>
      </c>
      <c r="E58" s="5" t="str">
        <f>LOWER(Table578[[#This Row],[Leage_Abbrivation_Winbets]]) &amp; "_" &amp; LOWER(Table578[[#This Row],[Team_Abbrivation_Winbets]])</f>
        <v>seriea_cre</v>
      </c>
      <c r="F58" t="s">
        <v>136</v>
      </c>
      <c r="G58" s="4">
        <v>1046</v>
      </c>
      <c r="H58" t="s">
        <v>136</v>
      </c>
      <c r="I58" s="5" t="s">
        <v>109</v>
      </c>
    </row>
    <row r="59" spans="1:9">
      <c r="A59" s="5">
        <v>16</v>
      </c>
      <c r="B59" s="5">
        <v>15068</v>
      </c>
      <c r="C59" s="5" t="s">
        <v>106</v>
      </c>
      <c r="D59" s="5" t="s">
        <v>137</v>
      </c>
      <c r="E59" s="5" t="str">
        <f>LOWER(Table578[[#This Row],[Leage_Abbrivation_Winbets]]) &amp; "_" &amp; LOWER(Table578[[#This Row],[Team_Abbrivation_Winbets]])</f>
        <v>seriea_ata</v>
      </c>
      <c r="F59" t="s">
        <v>138</v>
      </c>
      <c r="G59" s="4">
        <v>464</v>
      </c>
      <c r="H59" t="s">
        <v>138</v>
      </c>
      <c r="I59" s="5" t="s">
        <v>109</v>
      </c>
    </row>
    <row r="60" spans="1:9">
      <c r="A60" s="5">
        <v>17</v>
      </c>
      <c r="B60" s="5">
        <v>15068</v>
      </c>
      <c r="C60" s="5" t="s">
        <v>106</v>
      </c>
      <c r="D60" s="5" t="s">
        <v>139</v>
      </c>
      <c r="E60" s="5" t="str">
        <f>LOWER(Table578[[#This Row],[Leage_Abbrivation_Winbets]]) &amp; "_" &amp; LOWER(Table578[[#This Row],[Team_Abbrivation_Winbets]])</f>
        <v>seriea_udi</v>
      </c>
      <c r="F60" t="s">
        <v>140</v>
      </c>
      <c r="G60" s="4">
        <v>466</v>
      </c>
      <c r="H60" t="s">
        <v>140</v>
      </c>
      <c r="I60" s="5" t="s">
        <v>109</v>
      </c>
    </row>
    <row r="61" spans="1:9">
      <c r="A61" s="5">
        <v>18</v>
      </c>
      <c r="B61" s="5">
        <v>15068</v>
      </c>
      <c r="C61" s="5" t="s">
        <v>106</v>
      </c>
      <c r="D61" s="5" t="s">
        <v>141</v>
      </c>
      <c r="E61" s="5" t="str">
        <f>LOWER(Table578[[#This Row],[Leage_Abbrivation_Winbets]]) &amp; "_" &amp; LOWER(Table578[[#This Row],[Team_Abbrivation_Winbets]])</f>
        <v>seriea_ver</v>
      </c>
      <c r="F61" t="s">
        <v>142</v>
      </c>
      <c r="G61" s="4">
        <v>473</v>
      </c>
      <c r="H61" t="s">
        <v>142</v>
      </c>
      <c r="I61" s="5" t="s">
        <v>109</v>
      </c>
    </row>
    <row r="62" spans="1:9">
      <c r="A62" s="5">
        <v>19</v>
      </c>
      <c r="B62" s="5">
        <v>15068</v>
      </c>
      <c r="C62" s="5" t="s">
        <v>106</v>
      </c>
      <c r="D62" s="5" t="s">
        <v>143</v>
      </c>
      <c r="E62" s="5" t="str">
        <f>LOWER(Table578[[#This Row],[Leage_Abbrivation_Winbets]]) &amp; "_" &amp; LOWER(Table578[[#This Row],[Team_Abbrivation_Winbets]])</f>
        <v>seriea_como</v>
      </c>
      <c r="F62" t="s">
        <v>144</v>
      </c>
      <c r="G62" s="4">
        <v>518</v>
      </c>
      <c r="H62" t="s">
        <v>144</v>
      </c>
      <c r="I62" s="5" t="s">
        <v>109</v>
      </c>
    </row>
    <row r="63" spans="1:9">
      <c r="A63" s="5">
        <v>20</v>
      </c>
      <c r="B63" s="5">
        <v>15068</v>
      </c>
      <c r="C63" s="5" t="s">
        <v>106</v>
      </c>
      <c r="D63" s="5" t="s">
        <v>145</v>
      </c>
      <c r="E63" s="5" t="str">
        <f>LOWER(Table578[[#This Row],[Leage_Abbrivation_Winbets]]) &amp; "_" &amp; LOWER(Table578[[#This Row],[Team_Abbrivation_Winbets]])</f>
        <v>seriea_lec</v>
      </c>
      <c r="F63" t="s">
        <v>146</v>
      </c>
      <c r="G63" s="4">
        <v>2330</v>
      </c>
      <c r="H63" t="s">
        <v>146</v>
      </c>
      <c r="I63" s="5" t="s">
        <v>109</v>
      </c>
    </row>
    <row r="64" spans="1:9">
      <c r="A64" s="16" t="s">
        <v>0</v>
      </c>
      <c r="B64" s="5" t="s">
        <v>1</v>
      </c>
      <c r="C64" s="5" t="s">
        <v>2</v>
      </c>
      <c r="D64" s="5" t="s">
        <v>3</v>
      </c>
      <c r="E64" s="5" t="s">
        <v>4</v>
      </c>
      <c r="F64" s="5" t="s">
        <v>5</v>
      </c>
      <c r="G64" s="5" t="s">
        <v>6</v>
      </c>
      <c r="H64" s="5" t="s">
        <v>7</v>
      </c>
      <c r="I64" s="5" t="s">
        <v>8</v>
      </c>
    </row>
    <row r="65" spans="1:9">
      <c r="A65" s="17">
        <v>1</v>
      </c>
      <c r="B65" s="5">
        <v>14968</v>
      </c>
      <c r="C65" t="s">
        <v>147</v>
      </c>
      <c r="D65" s="5" t="s">
        <v>148</v>
      </c>
      <c r="E65" s="5" t="str">
        <f>LOWER(Table5789[[#This Row],[Leage_Abbrivation_Winbets]]) &amp; "_" &amp; LOWER(Table5789[[#This Row],[Team_Abbrivation_Winbets]])</f>
        <v>bundesliga_dor</v>
      </c>
      <c r="F65" t="s">
        <v>149</v>
      </c>
      <c r="G65" s="5">
        <v>33</v>
      </c>
      <c r="H65" t="s">
        <v>149</v>
      </c>
      <c r="I65" s="5" t="s">
        <v>150</v>
      </c>
    </row>
    <row r="66" spans="1:9">
      <c r="A66" s="18">
        <v>2</v>
      </c>
      <c r="B66" s="5">
        <v>14968</v>
      </c>
      <c r="C66" t="s">
        <v>147</v>
      </c>
      <c r="D66" s="5" t="s">
        <v>151</v>
      </c>
      <c r="E66" s="5" t="str">
        <f>LOWER(Table5789[[#This Row],[Leage_Abbrivation_Winbets]]) &amp; "_" &amp; LOWER(Table5789[[#This Row],[Team_Abbrivation_Winbets]])</f>
        <v>bundesliga_m05</v>
      </c>
      <c r="F66" t="s">
        <v>152</v>
      </c>
      <c r="G66" s="5">
        <v>34</v>
      </c>
      <c r="H66" t="s">
        <v>153</v>
      </c>
      <c r="I66" s="5" t="s">
        <v>150</v>
      </c>
    </row>
    <row r="67" spans="1:9">
      <c r="A67" s="17">
        <v>3</v>
      </c>
      <c r="B67" s="5">
        <v>14968</v>
      </c>
      <c r="C67" t="s">
        <v>147</v>
      </c>
      <c r="D67" s="5" t="s">
        <v>154</v>
      </c>
      <c r="E67" s="5" t="str">
        <f>LOWER(Table5789[[#This Row],[Leage_Abbrivation_Winbets]]) &amp; "_" &amp; LOWER(Table5789[[#This Row],[Team_Abbrivation_Winbets]])</f>
        <v>bundesliga_hsv</v>
      </c>
      <c r="F67" t="s">
        <v>155</v>
      </c>
      <c r="G67" s="5">
        <v>36</v>
      </c>
      <c r="H67" t="s">
        <v>155</v>
      </c>
      <c r="I67" s="5" t="s">
        <v>150</v>
      </c>
    </row>
    <row r="68" spans="1:9">
      <c r="A68" s="18">
        <v>4</v>
      </c>
      <c r="B68" s="5">
        <v>14968</v>
      </c>
      <c r="C68" t="s">
        <v>147</v>
      </c>
      <c r="D68" s="5" t="s">
        <v>156</v>
      </c>
      <c r="E68" s="5" t="str">
        <f>LOWER(Table5789[[#This Row],[Leage_Abbrivation_Winbets]]) &amp; "_" &amp; LOWER(Table5789[[#This Row],[Team_Abbrivation_Winbets]])</f>
        <v>bundesliga_svw</v>
      </c>
      <c r="F68" t="s">
        <v>157</v>
      </c>
      <c r="G68" s="5">
        <v>37</v>
      </c>
      <c r="H68" t="s">
        <v>157</v>
      </c>
      <c r="I68" s="5" t="s">
        <v>150</v>
      </c>
    </row>
    <row r="69" spans="1:9">
      <c r="A69" s="17">
        <v>5</v>
      </c>
      <c r="B69" s="5">
        <v>14968</v>
      </c>
      <c r="C69" t="s">
        <v>147</v>
      </c>
      <c r="D69" s="5" t="s">
        <v>158</v>
      </c>
      <c r="E69" s="5" t="str">
        <f>LOWER(Table5789[[#This Row],[Leage_Abbrivation_Winbets]]) &amp; "_" &amp; LOWER(Table5789[[#This Row],[Team_Abbrivation_Winbets]])</f>
        <v>bundesliga_mun</v>
      </c>
      <c r="F69" t="s">
        <v>159</v>
      </c>
      <c r="G69" s="5">
        <v>38</v>
      </c>
      <c r="H69" t="s">
        <v>160</v>
      </c>
      <c r="I69" s="5" t="s">
        <v>150</v>
      </c>
    </row>
    <row r="70" spans="1:9">
      <c r="A70" s="18">
        <v>6</v>
      </c>
      <c r="B70" s="5">
        <v>14968</v>
      </c>
      <c r="C70" t="s">
        <v>147</v>
      </c>
      <c r="D70" s="5" t="s">
        <v>161</v>
      </c>
      <c r="E70" s="5" t="str">
        <f>LOWER(Table5789[[#This Row],[Leage_Abbrivation_Winbets]]) &amp; "_" &amp; LOWER(Table5789[[#This Row],[Team_Abbrivation_Winbets]])</f>
        <v>bundesliga_bmg</v>
      </c>
      <c r="F70" t="s">
        <v>162</v>
      </c>
      <c r="G70" s="5">
        <v>39</v>
      </c>
      <c r="H70" t="s">
        <v>162</v>
      </c>
      <c r="I70" s="5" t="s">
        <v>150</v>
      </c>
    </row>
    <row r="71" spans="1:9">
      <c r="A71" s="17">
        <v>7</v>
      </c>
      <c r="B71" s="5">
        <v>14968</v>
      </c>
      <c r="C71" t="s">
        <v>147</v>
      </c>
      <c r="D71" s="5" t="s">
        <v>163</v>
      </c>
      <c r="E71" s="5" t="str">
        <f>LOWER(Table5789[[#This Row],[Leage_Abbrivation_Winbets]]) &amp; "_" &amp; LOWER(Table5789[[#This Row],[Team_Abbrivation_Winbets]])</f>
        <v>bundesliga_b04</v>
      </c>
      <c r="F71" t="s">
        <v>164</v>
      </c>
      <c r="G71" s="5">
        <v>40</v>
      </c>
      <c r="H71" t="s">
        <v>164</v>
      </c>
      <c r="I71" s="5" t="s">
        <v>150</v>
      </c>
    </row>
    <row r="72" spans="1:9">
      <c r="A72" s="18">
        <v>8</v>
      </c>
      <c r="B72" s="5">
        <v>14968</v>
      </c>
      <c r="C72" t="s">
        <v>147</v>
      </c>
      <c r="D72" s="5" t="s">
        <v>165</v>
      </c>
      <c r="E72" s="5" t="str">
        <f>LOWER(Table5789[[#This Row],[Leage_Abbrivation_Winbets]]) &amp; "_" &amp; LOWER(Table5789[[#This Row],[Team_Abbrivation_Winbets]])</f>
        <v>bundesliga_koe</v>
      </c>
      <c r="F72" t="s">
        <v>166</v>
      </c>
      <c r="G72" s="5">
        <v>41</v>
      </c>
      <c r="H72" t="s">
        <v>167</v>
      </c>
      <c r="I72" s="5" t="s">
        <v>150</v>
      </c>
    </row>
    <row r="73" spans="1:9">
      <c r="A73" s="17">
        <v>9</v>
      </c>
      <c r="B73" s="5">
        <v>14968</v>
      </c>
      <c r="C73" t="s">
        <v>147</v>
      </c>
      <c r="D73" s="5" t="s">
        <v>168</v>
      </c>
      <c r="E73" s="5" t="str">
        <f>LOWER(Table5789[[#This Row],[Leage_Abbrivation_Winbets]]) &amp; "_" &amp; LOWER(Table5789[[#This Row],[Team_Abbrivation_Winbets]])</f>
        <v>bundesliga_scf</v>
      </c>
      <c r="F73" t="s">
        <v>169</v>
      </c>
      <c r="G73" s="5">
        <v>42</v>
      </c>
      <c r="H73" t="s">
        <v>170</v>
      </c>
      <c r="I73" s="5" t="s">
        <v>150</v>
      </c>
    </row>
    <row r="74" spans="1:9">
      <c r="A74" s="18">
        <v>10</v>
      </c>
      <c r="B74" s="5">
        <v>14968</v>
      </c>
      <c r="C74" t="s">
        <v>147</v>
      </c>
      <c r="D74" s="5" t="s">
        <v>171</v>
      </c>
      <c r="E74" s="5" t="str">
        <f>LOWER(Table5789[[#This Row],[Leage_Abbrivation_Winbets]]) &amp; "_" &amp; LOWER(Table5789[[#This Row],[Team_Abbrivation_Winbets]])</f>
        <v>bundesliga_wob</v>
      </c>
      <c r="F74" t="s">
        <v>172</v>
      </c>
      <c r="G74" s="5">
        <v>43</v>
      </c>
      <c r="H74" t="s">
        <v>173</v>
      </c>
      <c r="I74" s="5" t="s">
        <v>150</v>
      </c>
    </row>
    <row r="75" spans="1:9">
      <c r="A75" s="17">
        <v>11</v>
      </c>
      <c r="B75" s="5">
        <v>14968</v>
      </c>
      <c r="C75" t="s">
        <v>147</v>
      </c>
      <c r="D75" s="5" t="s">
        <v>174</v>
      </c>
      <c r="E75" s="5" t="str">
        <f>LOWER(Table5789[[#This Row],[Leage_Abbrivation_Winbets]]) &amp; "_" &amp; LOWER(Table5789[[#This Row],[Team_Abbrivation_Winbets]])</f>
        <v>bundesliga_sge</v>
      </c>
      <c r="F75" t="s">
        <v>175</v>
      </c>
      <c r="G75" s="5">
        <v>44</v>
      </c>
      <c r="H75" t="s">
        <v>175</v>
      </c>
      <c r="I75" s="5" t="s">
        <v>150</v>
      </c>
    </row>
    <row r="76" spans="1:9">
      <c r="A76" s="18">
        <v>12</v>
      </c>
      <c r="B76" s="5">
        <v>14968</v>
      </c>
      <c r="C76" t="s">
        <v>147</v>
      </c>
      <c r="D76" s="5" t="s">
        <v>176</v>
      </c>
      <c r="E76" s="5" t="str">
        <f>LOWER(Table5789[[#This Row],[Leage_Abbrivation_Winbets]]) &amp; "_" &amp; LOWER(Table5789[[#This Row],[Team_Abbrivation_Winbets]])</f>
        <v>bundesliga_rbl</v>
      </c>
      <c r="F76" t="s">
        <v>177</v>
      </c>
      <c r="G76" s="5">
        <v>46</v>
      </c>
      <c r="H76" t="s">
        <v>177</v>
      </c>
      <c r="I76" s="5" t="s">
        <v>150</v>
      </c>
    </row>
    <row r="77" spans="1:9">
      <c r="A77" s="17">
        <v>13</v>
      </c>
      <c r="B77" s="5">
        <v>14968</v>
      </c>
      <c r="C77" t="s">
        <v>147</v>
      </c>
      <c r="D77" t="s">
        <v>178</v>
      </c>
      <c r="E77" s="5" t="str">
        <f>LOWER(Table5789[[#This Row],[Leage_Abbrivation_Winbets]]) &amp; "_" &amp; LOWER(Table5789[[#This Row],[Team_Abbrivation_Winbets]])</f>
        <v>bundesliga_tsg</v>
      </c>
      <c r="F77" t="s">
        <v>179</v>
      </c>
      <c r="G77" s="5">
        <v>49</v>
      </c>
      <c r="H77" t="s">
        <v>180</v>
      </c>
      <c r="I77" s="5" t="s">
        <v>150</v>
      </c>
    </row>
    <row r="78" spans="1:9">
      <c r="A78" s="18">
        <v>14</v>
      </c>
      <c r="B78" s="5">
        <v>14968</v>
      </c>
      <c r="C78" t="s">
        <v>147</v>
      </c>
      <c r="D78" s="5" t="s">
        <v>181</v>
      </c>
      <c r="E78" s="5" t="str">
        <f>LOWER(Table5789[[#This Row],[Leage_Abbrivation_Winbets]]) &amp; "_" &amp; LOWER(Table5789[[#This Row],[Team_Abbrivation_Winbets]])</f>
        <v>bundesliga_fca</v>
      </c>
      <c r="F78" t="s">
        <v>182</v>
      </c>
      <c r="G78" s="5">
        <v>50</v>
      </c>
      <c r="H78" t="s">
        <v>183</v>
      </c>
      <c r="I78" s="5" t="s">
        <v>150</v>
      </c>
    </row>
    <row r="79" spans="1:9">
      <c r="A79" s="17">
        <v>15</v>
      </c>
      <c r="B79" s="5">
        <v>14968</v>
      </c>
      <c r="C79" t="s">
        <v>147</v>
      </c>
      <c r="D79" s="5" t="s">
        <v>184</v>
      </c>
      <c r="E79" s="5" t="str">
        <f>LOWER(Table5789[[#This Row],[Leage_Abbrivation_Winbets]]) &amp; "_" &amp; LOWER(Table5789[[#This Row],[Team_Abbrivation_Winbets]])</f>
        <v>bundesliga_vfb</v>
      </c>
      <c r="F79" t="s">
        <v>185</v>
      </c>
      <c r="G79" s="5">
        <v>51</v>
      </c>
      <c r="H79" t="s">
        <v>186</v>
      </c>
      <c r="I79" s="5" t="s">
        <v>150</v>
      </c>
    </row>
    <row r="80" spans="1:9">
      <c r="A80" s="18">
        <v>16</v>
      </c>
      <c r="B80" s="5">
        <v>14968</v>
      </c>
      <c r="C80" t="s">
        <v>147</v>
      </c>
      <c r="D80" t="s">
        <v>187</v>
      </c>
      <c r="E80" s="5" t="str">
        <f>LOWER(Table5789[[#This Row],[Leage_Abbrivation_Winbets]]) &amp; "_" &amp; LOWER(Table5789[[#This Row],[Team_Abbrivation_Winbets]])</f>
        <v>bundesliga_fcu</v>
      </c>
      <c r="F80" t="s">
        <v>188</v>
      </c>
      <c r="G80" s="5">
        <v>541</v>
      </c>
      <c r="H80" t="s">
        <v>189</v>
      </c>
      <c r="I80" s="5" t="s">
        <v>150</v>
      </c>
    </row>
    <row r="81" spans="1:9">
      <c r="A81" s="17">
        <v>17</v>
      </c>
      <c r="B81" s="5">
        <v>14968</v>
      </c>
      <c r="C81" t="s">
        <v>147</v>
      </c>
      <c r="D81" s="5" t="s">
        <v>190</v>
      </c>
      <c r="E81" s="5" t="str">
        <f>LOWER(Table5789[[#This Row],[Leage_Abbrivation_Winbets]]) &amp; "_" &amp; LOWER(Table5789[[#This Row],[Team_Abbrivation_Winbets]])</f>
        <v>bundesliga_stp</v>
      </c>
      <c r="F81" t="s">
        <v>191</v>
      </c>
      <c r="G81" s="5">
        <v>548</v>
      </c>
      <c r="H81" t="s">
        <v>191</v>
      </c>
      <c r="I81" s="5" t="s">
        <v>150</v>
      </c>
    </row>
    <row r="82" spans="1:9">
      <c r="A82" s="18">
        <v>18</v>
      </c>
      <c r="B82" s="5">
        <v>14968</v>
      </c>
      <c r="C82" t="s">
        <v>147</v>
      </c>
      <c r="D82" t="s">
        <v>192</v>
      </c>
      <c r="E82" s="5" t="str">
        <f>LOWER(Table5789[[#This Row],[Leage_Abbrivation_Winbets]]) &amp; "_" &amp; LOWER(Table5789[[#This Row],[Team_Abbrivation_Winbets]])</f>
        <v>bundesliga_hdh</v>
      </c>
      <c r="F82" t="s">
        <v>193</v>
      </c>
      <c r="G82" s="5">
        <v>552</v>
      </c>
      <c r="H82" t="s">
        <v>194</v>
      </c>
      <c r="I82" s="5" t="s">
        <v>150</v>
      </c>
    </row>
    <row r="83" spans="1:9">
      <c r="A83" s="16" t="s">
        <v>0</v>
      </c>
      <c r="B83" s="5" t="s">
        <v>1</v>
      </c>
      <c r="C83" s="5" t="s">
        <v>2</v>
      </c>
      <c r="D83" s="5" t="s">
        <v>3</v>
      </c>
      <c r="E83" s="5" t="s">
        <v>4</v>
      </c>
      <c r="F83" s="5" t="s">
        <v>5</v>
      </c>
      <c r="G83" s="5" t="s">
        <v>6</v>
      </c>
      <c r="H83" s="5" t="s">
        <v>7</v>
      </c>
      <c r="I83" s="5" t="s">
        <v>8</v>
      </c>
    </row>
    <row r="84" spans="1:9">
      <c r="A84" s="17">
        <v>1</v>
      </c>
      <c r="B84" s="5">
        <v>13973</v>
      </c>
      <c r="C84" t="s">
        <v>195</v>
      </c>
      <c r="D84" t="s">
        <v>196</v>
      </c>
      <c r="E84" s="5" t="str">
        <f>LOWER(Table578910[[#This Row],[Leage_Abbrivation_Winbets]]) &amp; "_" &amp; LOWER(Table578910[[#This Row],[Team_Abbrivation_Winbets]])</f>
        <v>mls_mtl</v>
      </c>
      <c r="F84" t="s">
        <v>197</v>
      </c>
      <c r="G84" s="4">
        <v>1</v>
      </c>
      <c r="H84" t="s">
        <v>198</v>
      </c>
      <c r="I84" s="5" t="s">
        <v>199</v>
      </c>
    </row>
    <row r="85" spans="1:9">
      <c r="A85" s="18">
        <v>2</v>
      </c>
      <c r="B85" s="5">
        <v>13973</v>
      </c>
      <c r="C85" t="s">
        <v>195</v>
      </c>
      <c r="D85" t="s">
        <v>200</v>
      </c>
      <c r="E85" s="5" t="str">
        <f>LOWER(Table578910[[#This Row],[Leage_Abbrivation_Winbets]]) &amp; "_" &amp; LOWER(Table578910[[#This Row],[Team_Abbrivation_Winbets]])</f>
        <v>mls_nyc</v>
      </c>
      <c r="F85" t="s">
        <v>201</v>
      </c>
      <c r="G85" s="4">
        <v>2</v>
      </c>
      <c r="H85" t="s">
        <v>202</v>
      </c>
      <c r="I85" s="5" t="s">
        <v>199</v>
      </c>
    </row>
    <row r="86" spans="1:9">
      <c r="A86" s="17">
        <v>3</v>
      </c>
      <c r="B86" s="5">
        <v>13973</v>
      </c>
      <c r="C86" t="s">
        <v>195</v>
      </c>
      <c r="D86" t="s">
        <v>203</v>
      </c>
      <c r="E86" s="5" t="str">
        <f>LOWER(Table578910[[#This Row],[Leage_Abbrivation_Winbets]]) &amp; "_" &amp; LOWER(Table578910[[#This Row],[Team_Abbrivation_Winbets]])</f>
        <v>mls_ny</v>
      </c>
      <c r="F86" t="s">
        <v>204</v>
      </c>
      <c r="G86" s="4">
        <v>4</v>
      </c>
      <c r="H86" t="s">
        <v>205</v>
      </c>
      <c r="I86" s="5" t="s">
        <v>199</v>
      </c>
    </row>
    <row r="87" spans="1:9">
      <c r="A87" s="18">
        <v>4</v>
      </c>
      <c r="B87" s="5">
        <v>13973</v>
      </c>
      <c r="C87" t="s">
        <v>195</v>
      </c>
      <c r="D87" t="s">
        <v>206</v>
      </c>
      <c r="E87" s="5" t="str">
        <f>LOWER(Table578910[[#This Row],[Leage_Abbrivation_Winbets]]) &amp; "_" &amp; LOWER(Table578910[[#This Row],[Team_Abbrivation_Winbets]])</f>
        <v>mls_van</v>
      </c>
      <c r="F87" t="s">
        <v>207</v>
      </c>
      <c r="G87" s="4">
        <v>5</v>
      </c>
      <c r="H87" t="s">
        <v>207</v>
      </c>
      <c r="I87" s="5" t="s">
        <v>199</v>
      </c>
    </row>
    <row r="88" spans="1:9">
      <c r="A88" s="17">
        <v>5</v>
      </c>
      <c r="B88" s="5">
        <v>13973</v>
      </c>
      <c r="C88" t="s">
        <v>195</v>
      </c>
      <c r="D88" s="5" t="s">
        <v>208</v>
      </c>
      <c r="E88" s="5" t="str">
        <f>LOWER(Table578910[[#This Row],[Leage_Abbrivation_Winbets]]) &amp; "_" &amp; LOWER(Table578910[[#This Row],[Team_Abbrivation_Winbets]])</f>
        <v>mls_hou</v>
      </c>
      <c r="F88" s="6" t="s">
        <v>209</v>
      </c>
      <c r="G88" s="4">
        <v>6</v>
      </c>
      <c r="H88" t="s">
        <v>210</v>
      </c>
      <c r="I88" s="5" t="s">
        <v>199</v>
      </c>
    </row>
    <row r="89" spans="1:9">
      <c r="A89" s="18">
        <v>6</v>
      </c>
      <c r="B89" s="5">
        <v>13973</v>
      </c>
      <c r="C89" t="s">
        <v>195</v>
      </c>
      <c r="D89" s="5" t="s">
        <v>211</v>
      </c>
      <c r="E89" s="5" t="str">
        <f>LOWER(Table578910[[#This Row],[Leage_Abbrivation_Winbets]]) &amp; "_" &amp; LOWER(Table578910[[#This Row],[Team_Abbrivation_Winbets]])</f>
        <v>mls_chi</v>
      </c>
      <c r="F89" s="6" t="s">
        <v>212</v>
      </c>
      <c r="G89" s="4">
        <v>7</v>
      </c>
      <c r="H89" t="s">
        <v>213</v>
      </c>
      <c r="I89" s="5" t="s">
        <v>199</v>
      </c>
    </row>
    <row r="90" spans="1:9">
      <c r="A90" s="17">
        <v>7</v>
      </c>
      <c r="B90" s="5">
        <v>13973</v>
      </c>
      <c r="C90" t="s">
        <v>195</v>
      </c>
      <c r="D90" t="s">
        <v>214</v>
      </c>
      <c r="E90" s="5" t="str">
        <f>LOWER(Table578910[[#This Row],[Leage_Abbrivation_Winbets]]) &amp; "_" &amp; LOWER(Table578910[[#This Row],[Team_Abbrivation_Winbets]])</f>
        <v>mls_skc</v>
      </c>
      <c r="F90" t="s">
        <v>215</v>
      </c>
      <c r="G90" s="4">
        <v>8</v>
      </c>
      <c r="H90" t="s">
        <v>216</v>
      </c>
      <c r="I90" s="5" t="s">
        <v>199</v>
      </c>
    </row>
    <row r="91" spans="1:9">
      <c r="A91" s="18">
        <v>8</v>
      </c>
      <c r="B91" s="5">
        <v>13973</v>
      </c>
      <c r="C91" t="s">
        <v>195</v>
      </c>
      <c r="D91" s="5" t="s">
        <v>217</v>
      </c>
      <c r="E91" s="5" t="str">
        <f>LOWER(Table578910[[#This Row],[Leage_Abbrivation_Winbets]]) &amp; "_" &amp; LOWER(Table578910[[#This Row],[Team_Abbrivation_Winbets]])</f>
        <v>mls_clb</v>
      </c>
      <c r="F91" s="6" t="s">
        <v>218</v>
      </c>
      <c r="G91" s="4">
        <v>9</v>
      </c>
      <c r="H91" t="s">
        <v>218</v>
      </c>
      <c r="I91" s="5" t="s">
        <v>199</v>
      </c>
    </row>
    <row r="92" spans="1:9">
      <c r="A92" s="17">
        <v>9</v>
      </c>
      <c r="B92" s="5">
        <v>13973</v>
      </c>
      <c r="C92" t="s">
        <v>195</v>
      </c>
      <c r="D92" s="5" t="s">
        <v>219</v>
      </c>
      <c r="E92" s="5" t="str">
        <f>LOWER(Table578910[[#This Row],[Leage_Abbrivation_Winbets]]) &amp; "_" &amp; LOWER(Table578910[[#This Row],[Team_Abbrivation_Winbets]])</f>
        <v>mls_la</v>
      </c>
      <c r="F92" s="6" t="s">
        <v>220</v>
      </c>
      <c r="G92" s="4">
        <v>10</v>
      </c>
      <c r="H92" t="s">
        <v>220</v>
      </c>
      <c r="I92" s="5" t="s">
        <v>199</v>
      </c>
    </row>
    <row r="93" spans="1:9">
      <c r="A93" s="18">
        <v>10</v>
      </c>
      <c r="B93" s="5">
        <v>13973</v>
      </c>
      <c r="C93" t="s">
        <v>195</v>
      </c>
      <c r="D93" t="s">
        <v>221</v>
      </c>
      <c r="E93" s="5" t="str">
        <f>LOWER(Table578910[[#This Row],[Leage_Abbrivation_Winbets]]) &amp; "_" &amp; LOWER(Table578910[[#This Row],[Team_Abbrivation_Winbets]])</f>
        <v>mls_ne</v>
      </c>
      <c r="F93" t="s">
        <v>222</v>
      </c>
      <c r="G93" s="4">
        <v>11</v>
      </c>
      <c r="H93" t="s">
        <v>222</v>
      </c>
      <c r="I93" s="5" t="s">
        <v>199</v>
      </c>
    </row>
    <row r="94" spans="1:9">
      <c r="A94" s="17">
        <v>11</v>
      </c>
      <c r="B94" s="5">
        <v>13973</v>
      </c>
      <c r="C94" t="s">
        <v>195</v>
      </c>
      <c r="D94" s="5" t="s">
        <v>223</v>
      </c>
      <c r="E94" s="5" t="str">
        <f>LOWER(Table578910[[#This Row],[Leage_Abbrivation_Winbets]]) &amp; "_" &amp; LOWER(Table578910[[#This Row],[Team_Abbrivation_Winbets]])</f>
        <v>mls_col</v>
      </c>
      <c r="F94" s="6" t="s">
        <v>224</v>
      </c>
      <c r="G94" s="4">
        <v>12</v>
      </c>
      <c r="H94" t="s">
        <v>224</v>
      </c>
      <c r="I94" s="5" t="s">
        <v>199</v>
      </c>
    </row>
    <row r="95" spans="1:9">
      <c r="A95" s="18">
        <v>12</v>
      </c>
      <c r="B95" s="5">
        <v>13973</v>
      </c>
      <c r="C95" t="s">
        <v>195</v>
      </c>
      <c r="D95" s="5" t="s">
        <v>225</v>
      </c>
      <c r="E95" s="5" t="str">
        <f>LOWER(Table578910[[#This Row],[Leage_Abbrivation_Winbets]]) &amp; "_" &amp; LOWER(Table578910[[#This Row],[Team_Abbrivation_Winbets]])</f>
        <v>mls_dal</v>
      </c>
      <c r="F95" s="6" t="s">
        <v>226</v>
      </c>
      <c r="G95" s="4">
        <v>13</v>
      </c>
      <c r="H95" t="s">
        <v>226</v>
      </c>
      <c r="I95" s="5" t="s">
        <v>199</v>
      </c>
    </row>
    <row r="96" spans="1:9">
      <c r="A96" s="17">
        <v>13</v>
      </c>
      <c r="B96" s="5">
        <v>13973</v>
      </c>
      <c r="C96" t="s">
        <v>195</v>
      </c>
      <c r="D96" t="s">
        <v>227</v>
      </c>
      <c r="E96" s="5" t="str">
        <f>LOWER(Table578910[[#This Row],[Leage_Abbrivation_Winbets]]) &amp; "_" &amp; LOWER(Table578910[[#This Row],[Team_Abbrivation_Winbets]])</f>
        <v>mls_rsl</v>
      </c>
      <c r="F96" t="s">
        <v>228</v>
      </c>
      <c r="G96" s="4">
        <v>14</v>
      </c>
      <c r="H96" t="s">
        <v>228</v>
      </c>
      <c r="I96" s="5" t="s">
        <v>199</v>
      </c>
    </row>
    <row r="97" spans="1:9">
      <c r="A97" s="18">
        <v>14</v>
      </c>
      <c r="B97" s="5">
        <v>13973</v>
      </c>
      <c r="C97" t="s">
        <v>195</v>
      </c>
      <c r="D97" s="7" t="s">
        <v>229</v>
      </c>
      <c r="E97" s="5" t="str">
        <f>LOWER(Table578910[[#This Row],[Leage_Abbrivation_Winbets]]) &amp; "_" &amp; LOWER(Table578910[[#This Row],[Team_Abbrivation_Winbets]])</f>
        <v>mls_sj</v>
      </c>
      <c r="F97" t="s">
        <v>230</v>
      </c>
      <c r="G97" s="4">
        <v>15</v>
      </c>
      <c r="H97" t="s">
        <v>231</v>
      </c>
      <c r="I97" s="5" t="s">
        <v>199</v>
      </c>
    </row>
    <row r="98" spans="1:9">
      <c r="A98" s="17">
        <v>15</v>
      </c>
      <c r="B98" s="5">
        <v>13973</v>
      </c>
      <c r="C98" t="s">
        <v>195</v>
      </c>
      <c r="D98" t="s">
        <v>232</v>
      </c>
      <c r="E98" s="5" t="str">
        <f>LOWER(Table578910[[#This Row],[Leage_Abbrivation_Winbets]]) &amp; "_" &amp; LOWER(Table578910[[#This Row],[Team_Abbrivation_Winbets]])</f>
        <v>mls_phi</v>
      </c>
      <c r="F98" t="s">
        <v>233</v>
      </c>
      <c r="G98" s="4">
        <v>16</v>
      </c>
      <c r="H98" t="s">
        <v>233</v>
      </c>
      <c r="I98" s="5" t="s">
        <v>199</v>
      </c>
    </row>
    <row r="99" spans="1:9">
      <c r="A99" s="18">
        <v>16</v>
      </c>
      <c r="B99" s="5">
        <v>13973</v>
      </c>
      <c r="C99" t="s">
        <v>195</v>
      </c>
      <c r="D99" t="s">
        <v>234</v>
      </c>
      <c r="E99" s="5" t="str">
        <f>LOWER(Table578910[[#This Row],[Leage_Abbrivation_Winbets]]) &amp; "_" &amp; LOWER(Table578910[[#This Row],[Team_Abbrivation_Winbets]])</f>
        <v>mls_orl</v>
      </c>
      <c r="F99" t="s">
        <v>235</v>
      </c>
      <c r="G99" s="4">
        <v>17</v>
      </c>
      <c r="H99" t="s">
        <v>236</v>
      </c>
      <c r="I99" s="5" t="s">
        <v>199</v>
      </c>
    </row>
    <row r="100" spans="1:9">
      <c r="A100" s="17">
        <v>17</v>
      </c>
      <c r="B100" s="5">
        <v>13973</v>
      </c>
      <c r="C100" t="s">
        <v>195</v>
      </c>
      <c r="D100" t="s">
        <v>237</v>
      </c>
      <c r="E100" s="5" t="str">
        <f>LOWER(Table578910[[#This Row],[Leage_Abbrivation_Winbets]]) &amp; "_" &amp; LOWER(Table578910[[#This Row],[Team_Abbrivation_Winbets]])</f>
        <v>mls_sea</v>
      </c>
      <c r="F100" t="s">
        <v>238</v>
      </c>
      <c r="G100" s="4">
        <v>18</v>
      </c>
      <c r="H100" t="s">
        <v>239</v>
      </c>
      <c r="I100" s="5" t="s">
        <v>199</v>
      </c>
    </row>
    <row r="101" spans="1:9">
      <c r="A101" s="18">
        <v>18</v>
      </c>
      <c r="B101" s="5">
        <v>13973</v>
      </c>
      <c r="C101" t="s">
        <v>195</v>
      </c>
      <c r="D101" t="s">
        <v>116</v>
      </c>
      <c r="E101" s="5" t="str">
        <f>LOWER(Table578910[[#This Row],[Leage_Abbrivation_Winbets]]) &amp; "_" &amp; LOWER(Table578910[[#This Row],[Team_Abbrivation_Winbets]])</f>
        <v>mls_tor</v>
      </c>
      <c r="F101" t="s">
        <v>240</v>
      </c>
      <c r="G101" s="4">
        <v>19</v>
      </c>
      <c r="H101" t="s">
        <v>241</v>
      </c>
      <c r="I101" s="5" t="s">
        <v>199</v>
      </c>
    </row>
    <row r="102" spans="1:9">
      <c r="A102" s="17">
        <v>19</v>
      </c>
      <c r="B102" s="5">
        <v>13973</v>
      </c>
      <c r="C102" t="s">
        <v>195</v>
      </c>
      <c r="D102" t="s">
        <v>242</v>
      </c>
      <c r="E102" s="5" t="str">
        <f>LOWER(Table578910[[#This Row],[Leage_Abbrivation_Winbets]]) &amp; "_" &amp; LOWER(Table578910[[#This Row],[Team_Abbrivation_Winbets]])</f>
        <v>mls_por</v>
      </c>
      <c r="F102" t="s">
        <v>243</v>
      </c>
      <c r="G102" s="4">
        <v>20</v>
      </c>
      <c r="H102" t="s">
        <v>243</v>
      </c>
      <c r="I102" s="5" t="s">
        <v>199</v>
      </c>
    </row>
    <row r="103" spans="1:9">
      <c r="A103" s="18">
        <v>20</v>
      </c>
      <c r="B103" s="5">
        <v>13973</v>
      </c>
      <c r="C103" t="s">
        <v>195</v>
      </c>
      <c r="D103" t="s">
        <v>244</v>
      </c>
      <c r="E103" s="5" t="str">
        <f>LOWER(Table578910[[#This Row],[Leage_Abbrivation_Winbets]]) &amp; "_" &amp; LOWER(Table578910[[#This Row],[Team_Abbrivation_Winbets]])</f>
        <v>mls_min</v>
      </c>
      <c r="F103" t="s">
        <v>245</v>
      </c>
      <c r="G103" s="4">
        <v>1015</v>
      </c>
      <c r="H103" t="s">
        <v>246</v>
      </c>
      <c r="I103" s="5" t="s">
        <v>199</v>
      </c>
    </row>
    <row r="104" spans="1:9">
      <c r="A104" s="18">
        <v>21</v>
      </c>
      <c r="B104" s="5">
        <v>13973</v>
      </c>
      <c r="C104" t="s">
        <v>195</v>
      </c>
      <c r="D104" t="s">
        <v>247</v>
      </c>
      <c r="E104" s="5" t="str">
        <f>LOWER(Table578910[[#This Row],[Leage_Abbrivation_Winbets]]) &amp; "_" &amp; LOWER(Table578910[[#This Row],[Team_Abbrivation_Winbets]])</f>
        <v>mls_atl</v>
      </c>
      <c r="F104" t="s">
        <v>248</v>
      </c>
      <c r="G104" s="4">
        <v>1016</v>
      </c>
      <c r="H104" t="s">
        <v>248</v>
      </c>
      <c r="I104" s="5" t="s">
        <v>199</v>
      </c>
    </row>
    <row r="105" spans="1:9">
      <c r="A105" s="17">
        <v>22</v>
      </c>
      <c r="B105" s="5">
        <v>13973</v>
      </c>
      <c r="C105" t="s">
        <v>195</v>
      </c>
      <c r="D105" s="5" t="s">
        <v>249</v>
      </c>
      <c r="E105" s="5" t="str">
        <f>LOWER(Table578910[[#This Row],[Leage_Abbrivation_Winbets]]) &amp; "_" &amp; LOWER(Table578910[[#This Row],[Team_Abbrivation_Winbets]])</f>
        <v>mls_lafc</v>
      </c>
      <c r="F105" s="6" t="s">
        <v>249</v>
      </c>
      <c r="G105" s="4">
        <v>6490</v>
      </c>
      <c r="H105" t="s">
        <v>250</v>
      </c>
      <c r="I105" s="5" t="s">
        <v>199</v>
      </c>
    </row>
    <row r="106" spans="1:9">
      <c r="A106" s="18">
        <v>23</v>
      </c>
      <c r="B106" s="5">
        <v>13973</v>
      </c>
      <c r="C106" t="s">
        <v>195</v>
      </c>
      <c r="D106" s="5" t="s">
        <v>251</v>
      </c>
      <c r="E106" s="5" t="str">
        <f>LOWER(Table578910[[#This Row],[Leage_Abbrivation_Winbets]]) &amp; "_" &amp; LOWER(Table578910[[#This Row],[Team_Abbrivation_Winbets]])</f>
        <v>mls_cin</v>
      </c>
      <c r="F106" s="6" t="s">
        <v>252</v>
      </c>
      <c r="G106" s="4">
        <v>8043</v>
      </c>
      <c r="H106" t="s">
        <v>252</v>
      </c>
      <c r="I106" s="5" t="s">
        <v>199</v>
      </c>
    </row>
    <row r="107" spans="1:9">
      <c r="A107" s="18">
        <v>24</v>
      </c>
      <c r="B107" s="5">
        <v>13973</v>
      </c>
      <c r="C107" t="s">
        <v>195</v>
      </c>
      <c r="D107" s="5" t="s">
        <v>253</v>
      </c>
      <c r="E107" s="5" t="str">
        <f>LOWER(Table578910[[#This Row],[Leage_Abbrivation_Winbets]]) &amp; "_" &amp; LOWER(Table578910[[#This Row],[Team_Abbrivation_Winbets]])</f>
        <v>mls_dc</v>
      </c>
      <c r="F107" s="6" t="s">
        <v>254</v>
      </c>
      <c r="G107" s="4">
        <v>13401</v>
      </c>
      <c r="H107" t="s">
        <v>255</v>
      </c>
      <c r="I107" s="5" t="s">
        <v>199</v>
      </c>
    </row>
    <row r="108" spans="1:9">
      <c r="A108" s="17">
        <v>25</v>
      </c>
      <c r="B108" s="5">
        <v>13973</v>
      </c>
      <c r="C108" t="s">
        <v>195</v>
      </c>
      <c r="D108" s="5" t="s">
        <v>256</v>
      </c>
      <c r="E108" s="5" t="str">
        <f>LOWER(Table578910[[#This Row],[Leage_Abbrivation_Winbets]]) &amp; "_" &amp; LOWER(Table578910[[#This Row],[Team_Abbrivation_Winbets]])</f>
        <v>mls_mia</v>
      </c>
      <c r="F108" s="6" t="s">
        <v>257</v>
      </c>
      <c r="G108" s="4">
        <v>677446</v>
      </c>
      <c r="H108" t="s">
        <v>258</v>
      </c>
      <c r="I108" s="5" t="s">
        <v>199</v>
      </c>
    </row>
    <row r="109" spans="1:9">
      <c r="A109" s="18">
        <v>26</v>
      </c>
      <c r="B109" s="5">
        <v>13973</v>
      </c>
      <c r="C109" t="s">
        <v>195</v>
      </c>
      <c r="D109" s="1" t="s">
        <v>259</v>
      </c>
      <c r="E109" s="5" t="str">
        <f>LOWER(Table578910[[#This Row],[Leage_Abbrivation_Winbets]]) &amp; "_" &amp; LOWER(Table578910[[#This Row],[Team_Abbrivation_Winbets]])</f>
        <v>mls_nsh</v>
      </c>
      <c r="F109" t="s">
        <v>260</v>
      </c>
      <c r="G109" s="4">
        <v>677447</v>
      </c>
      <c r="H109" t="s">
        <v>260</v>
      </c>
      <c r="I109" s="5" t="s">
        <v>199</v>
      </c>
    </row>
    <row r="110" spans="1:9">
      <c r="A110" s="18">
        <v>27</v>
      </c>
      <c r="B110" s="5">
        <v>13973</v>
      </c>
      <c r="C110" t="s">
        <v>195</v>
      </c>
      <c r="D110" t="s">
        <v>261</v>
      </c>
      <c r="E110" s="5" t="str">
        <f>LOWER(Table578910[[#This Row],[Leage_Abbrivation_Winbets]]) &amp; "_" &amp; LOWER(Table578910[[#This Row],[Team_Abbrivation_Winbets]])</f>
        <v>mls_atx</v>
      </c>
      <c r="F110" t="s">
        <v>262</v>
      </c>
      <c r="G110" s="4">
        <v>698284</v>
      </c>
      <c r="H110" t="s">
        <v>263</v>
      </c>
      <c r="I110" s="5" t="s">
        <v>199</v>
      </c>
    </row>
    <row r="111" spans="1:9">
      <c r="A111" s="17">
        <v>28</v>
      </c>
      <c r="B111" s="5">
        <v>13973</v>
      </c>
      <c r="C111" t="s">
        <v>195</v>
      </c>
      <c r="D111" t="s">
        <v>264</v>
      </c>
      <c r="E111" s="5" t="str">
        <f>LOWER(Table578910[[#This Row],[Leage_Abbrivation_Winbets]]) &amp; "_" &amp; LOWER(Table578910[[#This Row],[Team_Abbrivation_Winbets]])</f>
        <v>mls_clt</v>
      </c>
      <c r="F111" t="s">
        <v>265</v>
      </c>
      <c r="G111" s="4">
        <v>711351</v>
      </c>
      <c r="H111" t="s">
        <v>266</v>
      </c>
      <c r="I111" s="5" t="s">
        <v>199</v>
      </c>
    </row>
    <row r="112" spans="1:9">
      <c r="A112" s="18">
        <v>29</v>
      </c>
      <c r="B112" s="5">
        <v>13973</v>
      </c>
      <c r="C112" t="s">
        <v>195</v>
      </c>
      <c r="D112" t="s">
        <v>267</v>
      </c>
      <c r="E112" s="5" t="str">
        <f>LOWER(Table578910[[#This Row],[Leage_Abbrivation_Winbets]]) &amp; "_" &amp; LOWER(Table578910[[#This Row],[Team_Abbrivation_Winbets]])</f>
        <v>mls_stl</v>
      </c>
      <c r="F112" t="s">
        <v>268</v>
      </c>
      <c r="G112" s="4">
        <v>945555</v>
      </c>
      <c r="H112" t="s">
        <v>269</v>
      </c>
      <c r="I112" s="5" t="s">
        <v>199</v>
      </c>
    </row>
    <row r="113" spans="1:9">
      <c r="A113" s="18">
        <v>30</v>
      </c>
      <c r="B113" s="5">
        <v>13973</v>
      </c>
      <c r="C113" t="s">
        <v>195</v>
      </c>
      <c r="D113" t="s">
        <v>270</v>
      </c>
      <c r="E113" s="5" t="str">
        <f>LOWER(Table578910[[#This Row],[Leage_Abbrivation_Winbets]]) &amp; "_" &amp; LOWER(Table578910[[#This Row],[Team_Abbrivation_Winbets]])</f>
        <v>mls_sd</v>
      </c>
      <c r="F113" t="s">
        <v>271</v>
      </c>
      <c r="G113" s="4">
        <v>1398748</v>
      </c>
      <c r="H113" t="s">
        <v>272</v>
      </c>
      <c r="I113" s="5" t="s">
        <v>199</v>
      </c>
    </row>
    <row r="116" spans="1:9">
      <c r="A116" s="16" t="s">
        <v>0</v>
      </c>
      <c r="B116" s="5" t="s">
        <v>1</v>
      </c>
      <c r="C116" s="5" t="s">
        <v>2</v>
      </c>
      <c r="D116" s="5" t="s">
        <v>3</v>
      </c>
      <c r="E116" s="5" t="s">
        <v>4</v>
      </c>
      <c r="F116" s="5" t="s">
        <v>5</v>
      </c>
      <c r="G116" s="5" t="s">
        <v>6</v>
      </c>
      <c r="H116" s="5" t="s">
        <v>7</v>
      </c>
      <c r="I116" s="5" t="s">
        <v>8</v>
      </c>
    </row>
    <row r="117" spans="1:9">
      <c r="A117" s="17">
        <v>1</v>
      </c>
      <c r="B117" s="5">
        <v>14932</v>
      </c>
      <c r="C117" s="5" t="s">
        <v>273</v>
      </c>
      <c r="D117" t="s">
        <v>274</v>
      </c>
      <c r="E117" s="5" t="str">
        <f>LOWER(Table57811[[#This Row],[Leage_Abbrivation_Winbets]]) &amp; "_" &amp; LOWER(Table57811[[#This Row],[Team_Abbrivation_Winbets]])</f>
        <v>ligue1_mon</v>
      </c>
      <c r="F117" t="s">
        <v>275</v>
      </c>
      <c r="G117" s="4">
        <v>56</v>
      </c>
      <c r="H117" t="s">
        <v>276</v>
      </c>
      <c r="I117" s="5" t="s">
        <v>277</v>
      </c>
    </row>
    <row r="118" spans="1:9">
      <c r="A118" s="18">
        <v>2</v>
      </c>
      <c r="B118" s="5">
        <v>14932</v>
      </c>
      <c r="C118" s="5" t="s">
        <v>273</v>
      </c>
      <c r="D118" t="s">
        <v>278</v>
      </c>
      <c r="E118" s="5" t="str">
        <f>LOWER(Table57811[[#This Row],[Leage_Abbrivation_Winbets]]) &amp; "_" &amp; LOWER(Table57811[[#This Row],[Team_Abbrivation_Winbets]])</f>
        <v>ligue1_lyon</v>
      </c>
      <c r="F118" t="s">
        <v>279</v>
      </c>
      <c r="G118" s="4">
        <v>57</v>
      </c>
      <c r="H118" t="s">
        <v>280</v>
      </c>
      <c r="I118" s="5" t="s">
        <v>281</v>
      </c>
    </row>
    <row r="119" spans="1:9">
      <c r="A119" s="17">
        <v>3</v>
      </c>
      <c r="B119" s="5">
        <v>14932</v>
      </c>
      <c r="C119" s="5" t="s">
        <v>273</v>
      </c>
      <c r="D119" t="s">
        <v>282</v>
      </c>
      <c r="E119" s="5" t="str">
        <f>LOWER(Table57811[[#This Row],[Leage_Abbrivation_Winbets]]) &amp; "_" &amp; LOWER(Table57811[[#This Row],[Team_Abbrivation_Winbets]])</f>
        <v>ligue1_psg</v>
      </c>
      <c r="F119" t="s">
        <v>283</v>
      </c>
      <c r="G119" s="4">
        <v>68</v>
      </c>
      <c r="H119" t="s">
        <v>282</v>
      </c>
      <c r="I119" s="5" t="s">
        <v>284</v>
      </c>
    </row>
    <row r="120" spans="1:9">
      <c r="A120" s="18">
        <v>4</v>
      </c>
      <c r="B120" s="5">
        <v>14932</v>
      </c>
      <c r="C120" s="5" t="s">
        <v>273</v>
      </c>
      <c r="D120" t="s">
        <v>285</v>
      </c>
      <c r="E120" s="5" t="str">
        <f>LOWER(Table57811[[#This Row],[Leage_Abbrivation_Winbets]]) &amp; "_" &amp; LOWER(Table57811[[#This Row],[Team_Abbrivation_Winbets]])</f>
        <v>ligue1_metz</v>
      </c>
      <c r="F120" t="s">
        <v>286</v>
      </c>
      <c r="G120" s="4">
        <v>438</v>
      </c>
      <c r="H120" t="s">
        <v>286</v>
      </c>
      <c r="I120" s="5" t="s">
        <v>287</v>
      </c>
    </row>
    <row r="121" spans="1:9">
      <c r="A121" s="17">
        <v>5</v>
      </c>
      <c r="B121" s="5">
        <v>14932</v>
      </c>
      <c r="C121" s="5" t="s">
        <v>273</v>
      </c>
      <c r="D121" t="s">
        <v>288</v>
      </c>
      <c r="E121" s="5" t="str">
        <f>LOWER(Table57811[[#This Row],[Leage_Abbrivation_Winbets]]) &amp; "_" &amp; LOWER(Table57811[[#This Row],[Team_Abbrivation_Winbets]])</f>
        <v>ligue1_tou</v>
      </c>
      <c r="F121" t="s">
        <v>289</v>
      </c>
      <c r="G121" s="4">
        <v>439</v>
      </c>
      <c r="H121" t="s">
        <v>289</v>
      </c>
      <c r="I121" s="5" t="s">
        <v>290</v>
      </c>
    </row>
    <row r="122" spans="1:9">
      <c r="A122" s="18">
        <v>6</v>
      </c>
      <c r="B122" s="5">
        <v>14932</v>
      </c>
      <c r="C122" s="5" t="s">
        <v>273</v>
      </c>
      <c r="D122" t="s">
        <v>291</v>
      </c>
      <c r="E122" s="5" t="str">
        <f>LOWER(Table57811[[#This Row],[Leage_Abbrivation_Winbets]]) &amp; "_" &amp; LOWER(Table57811[[#This Row],[Team_Abbrivation_Winbets]])</f>
        <v>ligue1_nan</v>
      </c>
      <c r="F122" t="s">
        <v>292</v>
      </c>
      <c r="G122" s="4">
        <v>440</v>
      </c>
      <c r="H122" t="s">
        <v>292</v>
      </c>
      <c r="I122" s="5" t="s">
        <v>293</v>
      </c>
    </row>
    <row r="123" spans="1:9">
      <c r="A123" s="17">
        <v>7</v>
      </c>
      <c r="B123" s="5">
        <v>14932</v>
      </c>
      <c r="C123" s="5" t="s">
        <v>273</v>
      </c>
      <c r="D123" t="s">
        <v>294</v>
      </c>
      <c r="E123" s="5" t="str">
        <f>LOWER(Table57811[[#This Row],[Leage_Abbrivation_Winbets]]) &amp; "_" &amp; LOWER(Table57811[[#This Row],[Team_Abbrivation_Winbets]])</f>
        <v>ligue1_lill</v>
      </c>
      <c r="F123" t="s">
        <v>295</v>
      </c>
      <c r="G123" s="4">
        <v>441</v>
      </c>
      <c r="H123" t="s">
        <v>295</v>
      </c>
      <c r="I123" s="5" t="s">
        <v>296</v>
      </c>
    </row>
    <row r="124" spans="1:9">
      <c r="A124" s="18">
        <v>8</v>
      </c>
      <c r="B124" s="5">
        <v>14932</v>
      </c>
      <c r="C124" s="5" t="s">
        <v>273</v>
      </c>
      <c r="D124" t="s">
        <v>297</v>
      </c>
      <c r="E124" s="5" t="str">
        <f>LOWER(Table57811[[#This Row],[Leage_Abbrivation_Winbets]]) &amp; "_" &amp; LOWER(Table57811[[#This Row],[Team_Abbrivation_Winbets]])</f>
        <v>ligue1_ren</v>
      </c>
      <c r="F124" t="s">
        <v>298</v>
      </c>
      <c r="G124" s="4">
        <v>442</v>
      </c>
      <c r="H124" t="s">
        <v>299</v>
      </c>
      <c r="I124" s="5" t="s">
        <v>300</v>
      </c>
    </row>
    <row r="125" spans="1:9">
      <c r="A125" s="17">
        <v>9</v>
      </c>
      <c r="B125" s="5">
        <v>14932</v>
      </c>
      <c r="C125" s="5" t="s">
        <v>273</v>
      </c>
      <c r="D125" s="9" t="s">
        <v>301</v>
      </c>
      <c r="E125" s="5" t="str">
        <f>LOWER(Table57811[[#This Row],[Leage_Abbrivation_Winbets]]) &amp; "_" &amp; LOWER(Table57811[[#This Row],[Team_Abbrivation_Winbets]])</f>
        <v>ligue1_olm</v>
      </c>
      <c r="F125" s="8" t="s">
        <v>302</v>
      </c>
      <c r="G125" s="4">
        <v>443</v>
      </c>
      <c r="H125" t="s">
        <v>303</v>
      </c>
      <c r="I125" s="5" t="s">
        <v>304</v>
      </c>
    </row>
    <row r="126" spans="1:9">
      <c r="A126" s="18">
        <v>10</v>
      </c>
      <c r="B126" s="5">
        <v>14932</v>
      </c>
      <c r="C126" s="5" t="s">
        <v>273</v>
      </c>
      <c r="D126" t="s">
        <v>305</v>
      </c>
      <c r="E126" s="5" t="str">
        <f>LOWER(Table57811[[#This Row],[Leage_Abbrivation_Winbets]]) &amp; "_" &amp; LOWER(Table57811[[#This Row],[Team_Abbrivation_Winbets]])</f>
        <v>ligue1_ang</v>
      </c>
      <c r="F126" t="s">
        <v>306</v>
      </c>
      <c r="G126" s="4">
        <v>444</v>
      </c>
      <c r="H126" t="s">
        <v>307</v>
      </c>
      <c r="I126" s="5" t="s">
        <v>308</v>
      </c>
    </row>
    <row r="127" spans="1:9">
      <c r="A127" s="17">
        <v>11</v>
      </c>
      <c r="B127" s="5">
        <v>14932</v>
      </c>
      <c r="C127" s="5" t="s">
        <v>273</v>
      </c>
      <c r="D127" t="s">
        <v>309</v>
      </c>
      <c r="E127" s="5" t="str">
        <f>LOWER(Table57811[[#This Row],[Leage_Abbrivation_Winbets]]) &amp; "_" &amp; LOWER(Table57811[[#This Row],[Team_Abbrivation_Winbets]])</f>
        <v>ligue1_nice</v>
      </c>
      <c r="F127" t="s">
        <v>310</v>
      </c>
      <c r="G127" s="4">
        <v>445</v>
      </c>
      <c r="H127" t="s">
        <v>310</v>
      </c>
      <c r="I127" s="5" t="s">
        <v>311</v>
      </c>
    </row>
    <row r="128" spans="1:9">
      <c r="A128" s="18">
        <v>12</v>
      </c>
      <c r="B128" s="5">
        <v>14932</v>
      </c>
      <c r="C128" s="5" t="s">
        <v>273</v>
      </c>
      <c r="D128" s="10" t="s">
        <v>312</v>
      </c>
      <c r="E128" s="5" t="str">
        <f>LOWER(Table57811[[#This Row],[Leage_Abbrivation_Winbets]]) &amp; "_" &amp; LOWER(Table57811[[#This Row],[Team_Abbrivation_Winbets]])</f>
        <v>ligue1_lor</v>
      </c>
      <c r="F128" s="1" t="s">
        <v>313</v>
      </c>
      <c r="G128" s="4">
        <v>448</v>
      </c>
      <c r="H128" t="s">
        <v>313</v>
      </c>
      <c r="I128" s="5" t="s">
        <v>314</v>
      </c>
    </row>
    <row r="129" spans="1:9">
      <c r="A129" s="17">
        <v>13</v>
      </c>
      <c r="B129" s="5">
        <v>14932</v>
      </c>
      <c r="C129" s="5" t="s">
        <v>273</v>
      </c>
      <c r="D129" s="10" t="s">
        <v>315</v>
      </c>
      <c r="E129" s="5" t="str">
        <f>LOWER(Table57811[[#This Row],[Leage_Abbrivation_Winbets]]) &amp; "_" &amp; LOWER(Table57811[[#This Row],[Team_Abbrivation_Winbets]])</f>
        <v>ligue1_rcl</v>
      </c>
      <c r="F129" s="1" t="s">
        <v>316</v>
      </c>
      <c r="G129" s="4">
        <v>449</v>
      </c>
      <c r="H129" t="s">
        <v>316</v>
      </c>
      <c r="I129" s="5" t="s">
        <v>317</v>
      </c>
    </row>
    <row r="130" spans="1:9">
      <c r="A130" s="18">
        <v>14</v>
      </c>
      <c r="B130" s="5">
        <v>14932</v>
      </c>
      <c r="C130" s="5" t="s">
        <v>273</v>
      </c>
      <c r="D130" t="s">
        <v>318</v>
      </c>
      <c r="E130" s="5" t="str">
        <f>LOWER(Table57811[[#This Row],[Leage_Abbrivation_Winbets]]) &amp; "_" &amp; LOWER(Table57811[[#This Row],[Team_Abbrivation_Winbets]])</f>
        <v>ligue1_aux</v>
      </c>
      <c r="F130" t="s">
        <v>319</v>
      </c>
      <c r="G130" s="4">
        <v>479</v>
      </c>
      <c r="H130" t="s">
        <v>320</v>
      </c>
      <c r="I130" s="5" t="s">
        <v>321</v>
      </c>
    </row>
    <row r="131" spans="1:9">
      <c r="A131" s="17">
        <v>15</v>
      </c>
      <c r="B131" s="5">
        <v>14932</v>
      </c>
      <c r="C131" s="5" t="s">
        <v>273</v>
      </c>
      <c r="D131" t="s">
        <v>322</v>
      </c>
      <c r="E131" s="5" t="str">
        <f>LOWER(Table57811[[#This Row],[Leage_Abbrivation_Winbets]]) &amp; "_" &amp; LOWER(Table57811[[#This Row],[Team_Abbrivation_Winbets]])</f>
        <v>ligue1_str</v>
      </c>
      <c r="F131" t="s">
        <v>323</v>
      </c>
      <c r="G131" s="4">
        <v>480</v>
      </c>
      <c r="H131" t="s">
        <v>323</v>
      </c>
      <c r="I131" s="5" t="s">
        <v>324</v>
      </c>
    </row>
    <row r="132" spans="1:9">
      <c r="A132" s="18">
        <v>16</v>
      </c>
      <c r="B132" s="5">
        <v>14932</v>
      </c>
      <c r="C132" s="5" t="s">
        <v>273</v>
      </c>
      <c r="D132" t="s">
        <v>45</v>
      </c>
      <c r="E132" s="5" t="str">
        <f>LOWER(Table57811[[#This Row],[Leage_Abbrivation_Winbets]]) &amp; "_" &amp; LOWER(Table57811[[#This Row],[Team_Abbrivation_Winbets]])</f>
        <v>ligue1_bre</v>
      </c>
      <c r="F132" t="s">
        <v>325</v>
      </c>
      <c r="G132" s="4">
        <v>491</v>
      </c>
      <c r="H132" t="s">
        <v>325</v>
      </c>
      <c r="I132" s="5" t="s">
        <v>326</v>
      </c>
    </row>
    <row r="133" spans="1:9">
      <c r="A133" s="17">
        <v>17</v>
      </c>
      <c r="B133" s="5">
        <v>14932</v>
      </c>
      <c r="C133" s="5" t="s">
        <v>273</v>
      </c>
      <c r="D133" t="s">
        <v>327</v>
      </c>
      <c r="E133" s="5" t="str">
        <f>LOWER(Table57811[[#This Row],[Leage_Abbrivation_Winbets]]) &amp; "_" &amp; LOWER(Table57811[[#This Row],[Team_Abbrivation_Winbets]])</f>
        <v>ligue1_hac</v>
      </c>
      <c r="F133" t="s">
        <v>328</v>
      </c>
      <c r="G133" s="4">
        <v>493</v>
      </c>
      <c r="H133" t="s">
        <v>329</v>
      </c>
      <c r="I133" s="5" t="s">
        <v>330</v>
      </c>
    </row>
    <row r="134" spans="1:9">
      <c r="A134" s="18">
        <v>18</v>
      </c>
      <c r="B134" s="5">
        <v>14932</v>
      </c>
      <c r="C134" s="5" t="s">
        <v>273</v>
      </c>
      <c r="D134" t="s">
        <v>131</v>
      </c>
      <c r="E134" s="5" t="str">
        <f>LOWER(Table57811[[#This Row],[Leage_Abbrivation_Winbets]]) &amp; "_" &amp; LOWER(Table57811[[#This Row],[Team_Abbrivation_Winbets]])</f>
        <v>ligue1_par</v>
      </c>
      <c r="F134" t="s">
        <v>331</v>
      </c>
      <c r="G134" s="4">
        <v>494</v>
      </c>
      <c r="H134" t="s">
        <v>332</v>
      </c>
      <c r="I134" s="5" t="s">
        <v>333</v>
      </c>
    </row>
    <row r="135" spans="1:9">
      <c r="A135" s="19"/>
      <c r="B135" s="5"/>
      <c r="C135" s="5"/>
      <c r="D135"/>
      <c r="E135" s="5"/>
      <c r="F135"/>
      <c r="H135"/>
    </row>
    <row r="136" spans="1:9">
      <c r="A136" s="19"/>
      <c r="B136" s="5"/>
      <c r="C136" s="5"/>
      <c r="D136"/>
      <c r="E136" s="5"/>
      <c r="F136"/>
      <c r="H136"/>
    </row>
    <row r="137" spans="1:9">
      <c r="A137" s="16" t="s">
        <v>0</v>
      </c>
      <c r="B137" s="5" t="s">
        <v>1</v>
      </c>
      <c r="C137" s="5" t="s">
        <v>2</v>
      </c>
      <c r="D137" s="5" t="s">
        <v>3</v>
      </c>
      <c r="E137" s="5" t="s">
        <v>4</v>
      </c>
      <c r="F137" s="5" t="s">
        <v>5</v>
      </c>
      <c r="G137" s="5" t="s">
        <v>6</v>
      </c>
      <c r="H137" s="5" t="s">
        <v>7</v>
      </c>
      <c r="I137" s="5" t="s">
        <v>8</v>
      </c>
    </row>
    <row r="138" spans="1:9">
      <c r="A138" s="17">
        <v>1</v>
      </c>
      <c r="B138" s="5">
        <v>14936</v>
      </c>
      <c r="C138" t="s">
        <v>334</v>
      </c>
      <c r="D138" t="s">
        <v>335</v>
      </c>
      <c r="E138" s="5" t="str">
        <f>LOWER(Table5781112[[#This Row],[Leage_Abbrivation_Winbets]]) &amp; "_" &amp; LOWER(Table5781112[[#This Row],[Team_Abbrivation_Winbets]])</f>
        <v>eredivisie_aja</v>
      </c>
      <c r="F138" t="s">
        <v>336</v>
      </c>
      <c r="G138" s="4">
        <v>120</v>
      </c>
      <c r="H138" t="s">
        <v>337</v>
      </c>
      <c r="I138" s="5" t="s">
        <v>338</v>
      </c>
    </row>
    <row r="139" spans="1:9">
      <c r="A139" s="18">
        <v>2</v>
      </c>
      <c r="B139" s="5">
        <v>14936</v>
      </c>
      <c r="C139" t="s">
        <v>334</v>
      </c>
      <c r="D139" t="s">
        <v>339</v>
      </c>
      <c r="E139" s="5" t="str">
        <f>LOWER(Table5781112[[#This Row],[Leage_Abbrivation_Winbets]]) &amp; "_" &amp; LOWER(Table5781112[[#This Row],[Team_Abbrivation_Winbets]])</f>
        <v>eredivisie_psv</v>
      </c>
      <c r="F139" t="s">
        <v>340</v>
      </c>
      <c r="G139" s="4">
        <v>121</v>
      </c>
      <c r="H139" t="s">
        <v>339</v>
      </c>
      <c r="I139" s="5" t="s">
        <v>338</v>
      </c>
    </row>
    <row r="140" spans="1:9">
      <c r="A140" s="17">
        <v>3</v>
      </c>
      <c r="B140" s="5">
        <v>14936</v>
      </c>
      <c r="C140" t="s">
        <v>334</v>
      </c>
      <c r="D140" t="s">
        <v>341</v>
      </c>
      <c r="E140" s="5" t="str">
        <f>LOWER(Table5781112[[#This Row],[Leage_Abbrivation_Winbets]]) &amp; "_" &amp; LOWER(Table5781112[[#This Row],[Team_Abbrivation_Winbets]])</f>
        <v>eredivisie_gae</v>
      </c>
      <c r="F140" t="s">
        <v>342</v>
      </c>
      <c r="G140" s="4">
        <v>366</v>
      </c>
      <c r="H140" t="s">
        <v>342</v>
      </c>
      <c r="I140" s="5" t="s">
        <v>338</v>
      </c>
    </row>
    <row r="141" spans="1:9">
      <c r="A141" s="18">
        <v>4</v>
      </c>
      <c r="B141" s="5">
        <v>14936</v>
      </c>
      <c r="C141" t="s">
        <v>334</v>
      </c>
      <c r="D141" t="s">
        <v>343</v>
      </c>
      <c r="E141" s="5" t="str">
        <f>LOWER(Table5781112[[#This Row],[Leage_Abbrivation_Winbets]]) &amp; "_" &amp; LOWER(Table5781112[[#This Row],[Team_Abbrivation_Winbets]])</f>
        <v>eredivisie_fey</v>
      </c>
      <c r="F141" t="s">
        <v>344</v>
      </c>
      <c r="G141" s="4">
        <v>367</v>
      </c>
      <c r="H141" t="s">
        <v>345</v>
      </c>
      <c r="I141" s="5" t="s">
        <v>338</v>
      </c>
    </row>
    <row r="142" spans="1:9">
      <c r="A142" s="17">
        <v>5</v>
      </c>
      <c r="B142" s="5">
        <v>14936</v>
      </c>
      <c r="C142" t="s">
        <v>334</v>
      </c>
      <c r="D142" t="s">
        <v>346</v>
      </c>
      <c r="E142" s="5" t="str">
        <f>LOWER(Table5781112[[#This Row],[Leage_Abbrivation_Winbets]]) &amp; "_" &amp; LOWER(Table5781112[[#This Row],[Team_Abbrivation_Winbets]])</f>
        <v>eredivisie_her</v>
      </c>
      <c r="F142" t="s">
        <v>347</v>
      </c>
      <c r="G142" s="4">
        <v>370</v>
      </c>
      <c r="H142" t="s">
        <v>348</v>
      </c>
      <c r="I142" s="5" t="s">
        <v>338</v>
      </c>
    </row>
    <row r="143" spans="1:9">
      <c r="A143" s="18">
        <v>6</v>
      </c>
      <c r="B143" s="5">
        <v>14936</v>
      </c>
      <c r="C143" t="s">
        <v>334</v>
      </c>
      <c r="D143" t="s">
        <v>349</v>
      </c>
      <c r="E143" s="5" t="str">
        <f>LOWER(Table5781112[[#This Row],[Leage_Abbrivation_Winbets]]) &amp; "_" &amp; LOWER(Table5781112[[#This Row],[Team_Abbrivation_Winbets]])</f>
        <v>eredivisie_spa</v>
      </c>
      <c r="F143" t="s">
        <v>350</v>
      </c>
      <c r="G143" s="4">
        <v>371</v>
      </c>
      <c r="H143" t="s">
        <v>350</v>
      </c>
      <c r="I143" s="5" t="s">
        <v>338</v>
      </c>
    </row>
    <row r="144" spans="1:9">
      <c r="A144" s="17">
        <v>7</v>
      </c>
      <c r="B144" s="5">
        <v>14936</v>
      </c>
      <c r="C144" t="s">
        <v>334</v>
      </c>
      <c r="D144" t="s">
        <v>351</v>
      </c>
      <c r="E144" s="5" t="str">
        <f>LOWER(Table5781112[[#This Row],[Leage_Abbrivation_Winbets]]) &amp; "_" &amp; LOWER(Table5781112[[#This Row],[Team_Abbrivation_Winbets]])</f>
        <v>eredivisie_gro</v>
      </c>
      <c r="F144" t="s">
        <v>352</v>
      </c>
      <c r="G144" s="4">
        <v>372</v>
      </c>
      <c r="H144" t="s">
        <v>353</v>
      </c>
      <c r="I144" s="5" t="s">
        <v>338</v>
      </c>
    </row>
    <row r="145" spans="1:9">
      <c r="A145" s="18">
        <v>8</v>
      </c>
      <c r="B145" s="5">
        <v>14936</v>
      </c>
      <c r="C145" t="s">
        <v>334</v>
      </c>
      <c r="D145" t="s">
        <v>354</v>
      </c>
      <c r="E145" s="5" t="str">
        <f>LOWER(Table5781112[[#This Row],[Leage_Abbrivation_Winbets]]) &amp; "_" &amp; LOWER(Table5781112[[#This Row],[Team_Abbrivation_Winbets]])</f>
        <v>eredivisie_hee</v>
      </c>
      <c r="F145" t="s">
        <v>355</v>
      </c>
      <c r="G145" s="4">
        <v>373</v>
      </c>
      <c r="H145" t="s">
        <v>355</v>
      </c>
      <c r="I145" s="5" t="s">
        <v>338</v>
      </c>
    </row>
    <row r="146" spans="1:9">
      <c r="A146" s="17">
        <v>9</v>
      </c>
      <c r="B146" s="5">
        <v>14936</v>
      </c>
      <c r="C146" t="s">
        <v>334</v>
      </c>
      <c r="D146" t="s">
        <v>356</v>
      </c>
      <c r="E146" s="5" t="str">
        <f>LOWER(Table5781112[[#This Row],[Leage_Abbrivation_Winbets]]) &amp; "_" &amp; LOWER(Table5781112[[#This Row],[Team_Abbrivation_Winbets]])</f>
        <v>eredivisie_exc</v>
      </c>
      <c r="F146" t="s">
        <v>357</v>
      </c>
      <c r="G146" s="4">
        <v>374</v>
      </c>
      <c r="H146" t="s">
        <v>357</v>
      </c>
      <c r="I146" s="5" t="s">
        <v>338</v>
      </c>
    </row>
    <row r="147" spans="1:9">
      <c r="A147" s="18">
        <v>10</v>
      </c>
      <c r="B147" s="5">
        <v>14936</v>
      </c>
      <c r="C147" t="s">
        <v>334</v>
      </c>
      <c r="D147" t="s">
        <v>358</v>
      </c>
      <c r="E147" s="5" t="str">
        <f>LOWER(Table5781112[[#This Row],[Leage_Abbrivation_Winbets]]) &amp; "_" &amp; LOWER(Table5781112[[#This Row],[Team_Abbrivation_Winbets]])</f>
        <v>eredivisie_twe</v>
      </c>
      <c r="F147" t="s">
        <v>359</v>
      </c>
      <c r="G147" s="4">
        <v>375</v>
      </c>
      <c r="H147" t="s">
        <v>360</v>
      </c>
      <c r="I147" s="5" t="s">
        <v>338</v>
      </c>
    </row>
    <row r="148" spans="1:9">
      <c r="A148" s="17">
        <v>11</v>
      </c>
      <c r="B148" s="5">
        <v>14936</v>
      </c>
      <c r="C148" t="s">
        <v>334</v>
      </c>
      <c r="D148" t="s">
        <v>361</v>
      </c>
      <c r="E148" s="5" t="str">
        <f>LOWER(Table5781112[[#This Row],[Leage_Abbrivation_Winbets]]) &amp; "_" &amp; LOWER(Table5781112[[#This Row],[Team_Abbrivation_Winbets]])</f>
        <v>eredivisie_utr</v>
      </c>
      <c r="F148" t="s">
        <v>362</v>
      </c>
      <c r="G148" s="4">
        <v>376</v>
      </c>
      <c r="H148" t="s">
        <v>363</v>
      </c>
      <c r="I148" s="5" t="s">
        <v>338</v>
      </c>
    </row>
    <row r="149" spans="1:9">
      <c r="A149" s="18">
        <v>12</v>
      </c>
      <c r="B149" s="5">
        <v>14936</v>
      </c>
      <c r="C149" t="s">
        <v>334</v>
      </c>
      <c r="D149" t="s">
        <v>364</v>
      </c>
      <c r="E149" s="5" t="str">
        <f>LOWER(Table5781112[[#This Row],[Leage_Abbrivation_Winbets]]) &amp; "_" &amp; LOWER(Table5781112[[#This Row],[Team_Abbrivation_Winbets]])</f>
        <v>eredivisie_az</v>
      </c>
      <c r="F149" t="s">
        <v>365</v>
      </c>
      <c r="G149" s="4">
        <v>378</v>
      </c>
      <c r="H149" t="s">
        <v>364</v>
      </c>
      <c r="I149" s="5" t="s">
        <v>338</v>
      </c>
    </row>
    <row r="150" spans="1:9">
      <c r="A150" s="17">
        <v>13</v>
      </c>
      <c r="B150" s="5">
        <v>14936</v>
      </c>
      <c r="C150" t="s">
        <v>334</v>
      </c>
      <c r="D150" t="s">
        <v>366</v>
      </c>
      <c r="E150" s="5" t="str">
        <f>LOWER(Table5781112[[#This Row],[Leage_Abbrivation_Winbets]]) &amp; "_" &amp; LOWER(Table5781112[[#This Row],[Team_Abbrivation_Winbets]])</f>
        <v>eredivisie_nec</v>
      </c>
      <c r="F150" t="s">
        <v>367</v>
      </c>
      <c r="G150" s="4">
        <v>379</v>
      </c>
      <c r="H150" t="s">
        <v>366</v>
      </c>
      <c r="I150" s="5" t="s">
        <v>338</v>
      </c>
    </row>
    <row r="151" spans="1:9">
      <c r="A151" s="18">
        <v>14</v>
      </c>
      <c r="B151" s="5">
        <v>14936</v>
      </c>
      <c r="C151" t="s">
        <v>334</v>
      </c>
      <c r="D151" t="s">
        <v>368</v>
      </c>
      <c r="E151" s="5" t="str">
        <f>LOWER(Table5781112[[#This Row],[Leage_Abbrivation_Winbets]]) &amp; "_" &amp; LOWER(Table5781112[[#This Row],[Team_Abbrivation_Winbets]])</f>
        <v>eredivisie_pec</v>
      </c>
      <c r="F151" t="s">
        <v>369</v>
      </c>
      <c r="G151" s="4">
        <v>380</v>
      </c>
      <c r="H151" t="s">
        <v>369</v>
      </c>
      <c r="I151" s="5" t="s">
        <v>338</v>
      </c>
    </row>
    <row r="152" spans="1:9">
      <c r="A152" s="17">
        <v>15</v>
      </c>
      <c r="B152" s="5">
        <v>14936</v>
      </c>
      <c r="C152" t="s">
        <v>334</v>
      </c>
      <c r="D152" t="s">
        <v>370</v>
      </c>
      <c r="E152" s="5" t="str">
        <f>LOWER(Table5781112[[#This Row],[Leage_Abbrivation_Winbets]]) &amp; "_" &amp; LOWER(Table5781112[[#This Row],[Team_Abbrivation_Winbets]])</f>
        <v>eredivisie_nac</v>
      </c>
      <c r="F152" t="s">
        <v>371</v>
      </c>
      <c r="G152" s="4">
        <v>385</v>
      </c>
      <c r="H152" t="s">
        <v>371</v>
      </c>
      <c r="I152" s="5" t="s">
        <v>338</v>
      </c>
    </row>
    <row r="153" spans="1:9">
      <c r="A153" s="18">
        <v>16</v>
      </c>
      <c r="B153" s="5">
        <v>14936</v>
      </c>
      <c r="C153" t="s">
        <v>334</v>
      </c>
      <c r="D153" t="s">
        <v>372</v>
      </c>
      <c r="E153" s="5" t="str">
        <f>LOWER(Table5781112[[#This Row],[Leage_Abbrivation_Winbets]]) &amp; "_" &amp; LOWER(Table5781112[[#This Row],[Team_Abbrivation_Winbets]])</f>
        <v>eredivisie_for</v>
      </c>
      <c r="F153" t="s">
        <v>373</v>
      </c>
      <c r="G153" s="4">
        <v>387</v>
      </c>
      <c r="H153" t="s">
        <v>373</v>
      </c>
      <c r="I153" s="5" t="s">
        <v>338</v>
      </c>
    </row>
    <row r="154" spans="1:9">
      <c r="A154" s="17">
        <v>17</v>
      </c>
      <c r="B154" s="5">
        <v>14936</v>
      </c>
      <c r="C154" t="s">
        <v>334</v>
      </c>
      <c r="D154" t="s">
        <v>374</v>
      </c>
      <c r="E154" s="5" t="str">
        <f>LOWER(Table5781112[[#This Row],[Leage_Abbrivation_Winbets]]) &amp; "_" &amp; LOWER(Table5781112[[#This Row],[Team_Abbrivation_Winbets]])</f>
        <v>eredivisie_tel</v>
      </c>
      <c r="F154" t="s">
        <v>375</v>
      </c>
      <c r="G154" s="4">
        <v>389</v>
      </c>
      <c r="H154" t="s">
        <v>375</v>
      </c>
      <c r="I154" s="5" t="s">
        <v>338</v>
      </c>
    </row>
    <row r="155" spans="1:9">
      <c r="A155" s="18">
        <v>18</v>
      </c>
      <c r="B155" s="5">
        <v>14936</v>
      </c>
      <c r="C155" t="s">
        <v>334</v>
      </c>
      <c r="D155" t="s">
        <v>376</v>
      </c>
      <c r="E155" s="5" t="str">
        <f>LOWER(Table5781112[[#This Row],[Leage_Abbrivation_Winbets]]) &amp; "_" &amp; LOWER(Table5781112[[#This Row],[Team_Abbrivation_Winbets]])</f>
        <v>eredivisie_vol</v>
      </c>
      <c r="F155" t="s">
        <v>377</v>
      </c>
      <c r="G155" s="4">
        <v>398</v>
      </c>
      <c r="H155" t="s">
        <v>378</v>
      </c>
      <c r="I155" s="5" t="s">
        <v>338</v>
      </c>
    </row>
    <row r="156" spans="1:9">
      <c r="A156" s="17">
        <v>19</v>
      </c>
      <c r="B156" s="5"/>
      <c r="C156" s="5"/>
      <c r="D156" s="5"/>
      <c r="E156" s="5" t="str">
        <f>LOWER(Table5781112[[#This Row],[Leage_Abbrivation_Winbets]]) &amp; "_" &amp; LOWER(Table5781112[[#This Row],[Team_Abbrivation_Winbets]])</f>
        <v>_</v>
      </c>
      <c r="F156" s="6"/>
      <c r="H156" s="5"/>
      <c r="I156" s="5" t="s">
        <v>338</v>
      </c>
    </row>
    <row r="157" spans="1:9">
      <c r="A157" s="18">
        <v>20</v>
      </c>
      <c r="B157" s="5"/>
      <c r="C157" s="5"/>
      <c r="D157" s="5"/>
      <c r="E157" s="5" t="str">
        <f>LOWER(Table5781112[[#This Row],[Leage_Abbrivation_Winbets]]) &amp; "_" &amp; LOWER(Table5781112[[#This Row],[Team_Abbrivation_Winbets]])</f>
        <v>_</v>
      </c>
      <c r="F157" s="6"/>
      <c r="H157" s="5"/>
      <c r="I157" s="5"/>
    </row>
    <row r="158" spans="1:9">
      <c r="A158" s="16" t="s">
        <v>0</v>
      </c>
      <c r="B158" s="5" t="s">
        <v>1</v>
      </c>
      <c r="C158" s="5" t="s">
        <v>2</v>
      </c>
      <c r="D158" s="5" t="s">
        <v>3</v>
      </c>
      <c r="E158" s="5" t="s">
        <v>4</v>
      </c>
      <c r="F158" s="5" t="s">
        <v>5</v>
      </c>
      <c r="G158" s="5" t="s">
        <v>6</v>
      </c>
      <c r="H158" s="5" t="s">
        <v>7</v>
      </c>
      <c r="I158" s="5" t="s">
        <v>8</v>
      </c>
    </row>
    <row r="159" spans="1:9">
      <c r="A159" s="17">
        <v>1</v>
      </c>
      <c r="B159" s="5">
        <v>14936</v>
      </c>
      <c r="C159" t="s">
        <v>379</v>
      </c>
      <c r="D159" t="s">
        <v>380</v>
      </c>
      <c r="E159" s="5" t="str">
        <f>LOWER(Table578111213[[#This Row],[Leage_Abbrivation_Winbets]]) &amp; "_" &amp; LOWER(Table578111213[[#This Row],[Team_Abbrivation_Winbets]])</f>
        <v>liga_mx_ame</v>
      </c>
      <c r="F159" s="3" t="s">
        <v>381</v>
      </c>
      <c r="G159">
        <v>1420</v>
      </c>
      <c r="H159" s="3" t="s">
        <v>381</v>
      </c>
      <c r="I159" s="5" t="s">
        <v>382</v>
      </c>
    </row>
    <row r="160" spans="1:9">
      <c r="A160" s="18">
        <v>2</v>
      </c>
      <c r="B160" s="5">
        <v>14936</v>
      </c>
      <c r="C160" t="s">
        <v>379</v>
      </c>
      <c r="D160" t="s">
        <v>383</v>
      </c>
      <c r="E160" s="5" t="str">
        <f>LOWER(Table578111213[[#This Row],[Leage_Abbrivation_Winbets]]) &amp; "_" &amp; LOWER(Table578111213[[#This Row],[Team_Abbrivation_Winbets]])</f>
        <v>liga_mx_ats</v>
      </c>
      <c r="F160" t="s">
        <v>384</v>
      </c>
      <c r="G160">
        <v>1421</v>
      </c>
      <c r="H160" t="s">
        <v>384</v>
      </c>
      <c r="I160" s="5" t="s">
        <v>382</v>
      </c>
    </row>
    <row r="161" spans="1:9">
      <c r="A161" s="17">
        <v>3</v>
      </c>
      <c r="B161" s="5">
        <v>14936</v>
      </c>
      <c r="C161" t="s">
        <v>379</v>
      </c>
      <c r="D161" s="1" t="s">
        <v>385</v>
      </c>
      <c r="E161" s="5" t="str">
        <f>LOWER(Table578111213[[#This Row],[Leage_Abbrivation_Winbets]]) &amp; "_" &amp; LOWER(Table578111213[[#This Row],[Team_Abbrivation_Winbets]])</f>
        <v>liga_mx_asl</v>
      </c>
      <c r="F161" s="1" t="s">
        <v>386</v>
      </c>
      <c r="G161">
        <v>1449</v>
      </c>
      <c r="H161" s="3" t="s">
        <v>387</v>
      </c>
      <c r="I161" s="5" t="s">
        <v>382</v>
      </c>
    </row>
    <row r="162" spans="1:9">
      <c r="A162" s="18">
        <v>4</v>
      </c>
      <c r="B162" s="5">
        <v>14936</v>
      </c>
      <c r="C162" t="s">
        <v>379</v>
      </c>
      <c r="D162" t="s">
        <v>388</v>
      </c>
      <c r="E162" s="5" t="str">
        <f>LOWER(Table578111213[[#This Row],[Leage_Abbrivation_Winbets]]) &amp; "_" &amp; LOWER(Table578111213[[#This Row],[Team_Abbrivation_Winbets]])</f>
        <v>liga_mx_caz</v>
      </c>
      <c r="F162" t="s">
        <v>389</v>
      </c>
      <c r="G162">
        <v>1432</v>
      </c>
      <c r="H162" t="s">
        <v>389</v>
      </c>
      <c r="I162" s="5" t="s">
        <v>382</v>
      </c>
    </row>
    <row r="163" spans="1:9">
      <c r="A163" s="17">
        <v>5</v>
      </c>
      <c r="B163" s="5">
        <v>14936</v>
      </c>
      <c r="C163" t="s">
        <v>379</v>
      </c>
      <c r="D163" t="s">
        <v>390</v>
      </c>
      <c r="E163" s="5" t="str">
        <f>LOWER(Table578111213[[#This Row],[Leage_Abbrivation_Winbets]]) &amp; "_" &amp; LOWER(Table578111213[[#This Row],[Team_Abbrivation_Winbets]])</f>
        <v>liga_mx_gdl</v>
      </c>
      <c r="F163" t="s">
        <v>391</v>
      </c>
      <c r="G163">
        <v>1431</v>
      </c>
      <c r="H163" t="s">
        <v>391</v>
      </c>
      <c r="I163" s="5" t="s">
        <v>382</v>
      </c>
    </row>
    <row r="164" spans="1:9">
      <c r="A164" s="18">
        <v>6</v>
      </c>
      <c r="B164" s="5">
        <v>14936</v>
      </c>
      <c r="C164" t="s">
        <v>379</v>
      </c>
      <c r="D164" t="s">
        <v>392</v>
      </c>
      <c r="E164" s="5" t="str">
        <f>LOWER(Table578111213[[#This Row],[Leage_Abbrivation_Winbets]]) &amp; "_" &amp; LOWER(Table578111213[[#This Row],[Team_Abbrivation_Winbets]])</f>
        <v>liga_mx_jua</v>
      </c>
      <c r="F164" t="s">
        <v>393</v>
      </c>
      <c r="G164">
        <v>1444</v>
      </c>
      <c r="H164" s="3" t="s">
        <v>394</v>
      </c>
      <c r="I164" s="5" t="s">
        <v>382</v>
      </c>
    </row>
    <row r="165" spans="1:9">
      <c r="A165" s="17">
        <v>7</v>
      </c>
      <c r="B165" s="5">
        <v>14936</v>
      </c>
      <c r="C165" t="s">
        <v>379</v>
      </c>
      <c r="D165" t="s">
        <v>395</v>
      </c>
      <c r="E165" s="5" t="str">
        <f>LOWER(Table578111213[[#This Row],[Leage_Abbrivation_Winbets]]) &amp; "_" &amp; LOWER(Table578111213[[#This Row],[Team_Abbrivation_Winbets]])</f>
        <v>liga_mx_leo</v>
      </c>
      <c r="F165" s="3" t="s">
        <v>396</v>
      </c>
      <c r="G165">
        <v>1434</v>
      </c>
      <c r="H165" s="3" t="s">
        <v>396</v>
      </c>
      <c r="I165" s="5" t="s">
        <v>382</v>
      </c>
    </row>
    <row r="166" spans="1:9">
      <c r="A166" s="18">
        <v>8</v>
      </c>
      <c r="B166" s="5">
        <v>14936</v>
      </c>
      <c r="C166" t="s">
        <v>379</v>
      </c>
      <c r="D166" t="s">
        <v>397</v>
      </c>
      <c r="E166" s="5" t="str">
        <f>LOWER(Table578111213[[#This Row],[Leage_Abbrivation_Winbets]]) &amp; "_" &amp; LOWER(Table578111213[[#This Row],[Team_Abbrivation_Winbets]])</f>
        <v>liga_mx_maz</v>
      </c>
      <c r="F166" t="s">
        <v>398</v>
      </c>
      <c r="G166">
        <v>686211</v>
      </c>
      <c r="H166" s="3" t="s">
        <v>399</v>
      </c>
      <c r="I166" s="5" t="s">
        <v>382</v>
      </c>
    </row>
    <row r="167" spans="1:9">
      <c r="A167" s="17">
        <v>9</v>
      </c>
      <c r="B167" s="5">
        <v>14936</v>
      </c>
      <c r="C167" t="s">
        <v>379</v>
      </c>
      <c r="D167" t="s">
        <v>400</v>
      </c>
      <c r="E167" s="5" t="str">
        <f>LOWER(Table578111213[[#This Row],[Leage_Abbrivation_Winbets]]) &amp; "_" &amp; LOWER(Table578111213[[#This Row],[Team_Abbrivation_Winbets]])</f>
        <v>liga_mx_mty</v>
      </c>
      <c r="F167" t="s">
        <v>401</v>
      </c>
      <c r="G167">
        <v>1430</v>
      </c>
      <c r="H167" t="s">
        <v>401</v>
      </c>
      <c r="I167" s="5" t="s">
        <v>382</v>
      </c>
    </row>
    <row r="168" spans="1:9">
      <c r="A168" s="18">
        <v>10</v>
      </c>
      <c r="B168" s="5">
        <v>14936</v>
      </c>
      <c r="C168" t="s">
        <v>379</v>
      </c>
      <c r="D168" t="s">
        <v>402</v>
      </c>
      <c r="E168" s="5" t="str">
        <f>LOWER(Table578111213[[#This Row],[Leage_Abbrivation_Winbets]]) &amp; "_" &amp; LOWER(Table578111213[[#This Row],[Team_Abbrivation_Winbets]])</f>
        <v>liga_mx_ncx</v>
      </c>
      <c r="F168" t="s">
        <v>403</v>
      </c>
      <c r="G168">
        <v>1428</v>
      </c>
      <c r="H168" t="s">
        <v>403</v>
      </c>
      <c r="I168" s="5" t="s">
        <v>382</v>
      </c>
    </row>
    <row r="169" spans="1:9">
      <c r="A169" s="17">
        <v>11</v>
      </c>
      <c r="B169" s="5">
        <v>14936</v>
      </c>
      <c r="C169" t="s">
        <v>379</v>
      </c>
      <c r="D169" t="s">
        <v>404</v>
      </c>
      <c r="E169" s="5" t="str">
        <f>LOWER(Table578111213[[#This Row],[Leage_Abbrivation_Winbets]]) &amp; "_" &amp; LOWER(Table578111213[[#This Row],[Team_Abbrivation_Winbets]])</f>
        <v>liga_mx_pac</v>
      </c>
      <c r="F169" t="s">
        <v>405</v>
      </c>
      <c r="G169">
        <v>1417</v>
      </c>
      <c r="H169" t="s">
        <v>405</v>
      </c>
      <c r="I169" s="5" t="s">
        <v>382</v>
      </c>
    </row>
    <row r="170" spans="1:9">
      <c r="A170" s="18">
        <v>12</v>
      </c>
      <c r="B170" s="5">
        <v>14936</v>
      </c>
      <c r="C170" t="s">
        <v>379</v>
      </c>
      <c r="D170" t="s">
        <v>406</v>
      </c>
      <c r="E170" s="5" t="str">
        <f>LOWER(Table578111213[[#This Row],[Leage_Abbrivation_Winbets]]) &amp; "_" &amp; LOWER(Table578111213[[#This Row],[Team_Abbrivation_Winbets]])</f>
        <v>liga_mx_pue</v>
      </c>
      <c r="F170" t="s">
        <v>407</v>
      </c>
      <c r="G170">
        <v>1433</v>
      </c>
      <c r="H170" t="s">
        <v>407</v>
      </c>
      <c r="I170" s="5" t="s">
        <v>382</v>
      </c>
    </row>
    <row r="171" spans="1:9">
      <c r="A171" s="17">
        <v>13</v>
      </c>
      <c r="B171" s="5">
        <v>14936</v>
      </c>
      <c r="C171" t="s">
        <v>379</v>
      </c>
      <c r="D171" t="s">
        <v>408</v>
      </c>
      <c r="E171" s="5" t="str">
        <f>LOWER(Table578111213[[#This Row],[Leage_Abbrivation_Winbets]]) &amp; "_" &amp; LOWER(Table578111213[[#This Row],[Team_Abbrivation_Winbets]])</f>
        <v>liga_mx_unam</v>
      </c>
      <c r="F171" t="s">
        <v>409</v>
      </c>
      <c r="G171">
        <v>1422</v>
      </c>
      <c r="H171" t="s">
        <v>409</v>
      </c>
      <c r="I171" s="5" t="s">
        <v>382</v>
      </c>
    </row>
    <row r="172" spans="1:9">
      <c r="A172" s="18">
        <v>14</v>
      </c>
      <c r="B172" s="5">
        <v>14936</v>
      </c>
      <c r="C172" t="s">
        <v>379</v>
      </c>
      <c r="D172" t="s">
        <v>410</v>
      </c>
      <c r="E172" s="5" t="str">
        <f>LOWER(Table578111213[[#This Row],[Leage_Abbrivation_Winbets]]) &amp; "_" &amp; LOWER(Table578111213[[#This Row],[Team_Abbrivation_Winbets]])</f>
        <v>liga_mx_qro</v>
      </c>
      <c r="F172" t="s">
        <v>411</v>
      </c>
      <c r="G172">
        <v>1427</v>
      </c>
      <c r="H172" s="3" t="s">
        <v>411</v>
      </c>
      <c r="I172" s="5" t="s">
        <v>382</v>
      </c>
    </row>
    <row r="173" spans="1:9">
      <c r="A173" s="17">
        <v>15</v>
      </c>
      <c r="B173" s="5">
        <v>14936</v>
      </c>
      <c r="C173" t="s">
        <v>379</v>
      </c>
      <c r="D173" t="s">
        <v>412</v>
      </c>
      <c r="E173" s="5" t="str">
        <f>LOWER(Table578111213[[#This Row],[Leage_Abbrivation_Winbets]]) &amp; "_" &amp; LOWER(Table578111213[[#This Row],[Team_Abbrivation_Winbets]])</f>
        <v>liga_mx_san</v>
      </c>
      <c r="F173" t="s">
        <v>413</v>
      </c>
      <c r="G173">
        <v>1426</v>
      </c>
      <c r="H173" t="s">
        <v>414</v>
      </c>
      <c r="I173" s="5" t="s">
        <v>382</v>
      </c>
    </row>
    <row r="174" spans="1:9">
      <c r="A174" s="18">
        <v>16</v>
      </c>
      <c r="B174" s="5">
        <v>14936</v>
      </c>
      <c r="C174" t="s">
        <v>379</v>
      </c>
      <c r="D174" t="s">
        <v>415</v>
      </c>
      <c r="E174" s="5" t="str">
        <f>LOWER(Table578111213[[#This Row],[Leage_Abbrivation_Winbets]]) &amp; "_" &amp; LOWER(Table578111213[[#This Row],[Team_Abbrivation_Winbets]])</f>
        <v>liga_mx_uanl</v>
      </c>
      <c r="F174" t="s">
        <v>416</v>
      </c>
      <c r="G174">
        <v>1423</v>
      </c>
      <c r="H174" t="s">
        <v>416</v>
      </c>
      <c r="I174" s="5" t="s">
        <v>382</v>
      </c>
    </row>
    <row r="175" spans="1:9">
      <c r="A175" s="17">
        <v>17</v>
      </c>
      <c r="B175" s="5">
        <v>14936</v>
      </c>
      <c r="C175" t="s">
        <v>379</v>
      </c>
      <c r="D175" t="s">
        <v>417</v>
      </c>
      <c r="E175" s="5" t="str">
        <f>LOWER(Table578111213[[#This Row],[Leage_Abbrivation_Winbets]]) &amp; "_" &amp; LOWER(Table578111213[[#This Row],[Team_Abbrivation_Winbets]])</f>
        <v>liga_mx_tij</v>
      </c>
      <c r="F175" t="s">
        <v>418</v>
      </c>
      <c r="G175">
        <v>1418</v>
      </c>
      <c r="H175" t="s">
        <v>418</v>
      </c>
      <c r="I175" s="5" t="s">
        <v>382</v>
      </c>
    </row>
    <row r="176" spans="1:9">
      <c r="A176" s="18">
        <v>18</v>
      </c>
      <c r="B176" s="5">
        <v>14936</v>
      </c>
      <c r="C176" t="s">
        <v>379</v>
      </c>
      <c r="D176" t="s">
        <v>419</v>
      </c>
      <c r="E176" s="5" t="str">
        <f>LOWER(Table578111213[[#This Row],[Leage_Abbrivation_Winbets]]) &amp; "_" &amp; LOWER(Table578111213[[#This Row],[Team_Abbrivation_Winbets]])</f>
        <v>liga_mx_tol</v>
      </c>
      <c r="F176" t="s">
        <v>420</v>
      </c>
      <c r="G176">
        <v>1424</v>
      </c>
      <c r="H176" t="s">
        <v>420</v>
      </c>
      <c r="I176" s="5" t="s">
        <v>382</v>
      </c>
    </row>
    <row r="177" spans="1:9">
      <c r="A177" s="19"/>
      <c r="B177" s="5"/>
      <c r="C177"/>
      <c r="D177"/>
      <c r="E177" s="5"/>
      <c r="F177"/>
      <c r="G177"/>
    </row>
    <row r="178" spans="1:9">
      <c r="A178" s="19"/>
      <c r="B178" s="5"/>
      <c r="C178"/>
      <c r="D178"/>
      <c r="E178" s="5"/>
      <c r="F178"/>
      <c r="G178"/>
    </row>
    <row r="179" spans="1:9" ht="21">
      <c r="A179" s="33" t="s">
        <v>421</v>
      </c>
      <c r="B179" s="33"/>
      <c r="C179" s="33"/>
      <c r="D179" s="33"/>
      <c r="E179" s="33"/>
      <c r="F179" s="33"/>
      <c r="G179" s="33"/>
      <c r="H179" s="33"/>
    </row>
    <row r="180" spans="1:9">
      <c r="A180" s="16" t="s">
        <v>0</v>
      </c>
      <c r="B180" s="5" t="s">
        <v>1</v>
      </c>
      <c r="C180" s="5" t="s">
        <v>2</v>
      </c>
      <c r="D180" s="5" t="s">
        <v>3</v>
      </c>
      <c r="E180" s="5" t="s">
        <v>4</v>
      </c>
      <c r="F180" s="5" t="s">
        <v>5</v>
      </c>
      <c r="G180" s="5" t="s">
        <v>6</v>
      </c>
      <c r="H180" s="5" t="s">
        <v>7</v>
      </c>
      <c r="I180" s="5" t="s">
        <v>8</v>
      </c>
    </row>
    <row r="181" spans="1:9">
      <c r="A181" s="17">
        <v>1</v>
      </c>
      <c r="B181" s="5">
        <v>14924</v>
      </c>
      <c r="C181" t="s">
        <v>422</v>
      </c>
      <c r="D181" t="s">
        <v>335</v>
      </c>
      <c r="E181" s="5" t="str">
        <f>LOWER(Table57811121314[[#This Row],[Leage_Abbrivation_Winbets]]) &amp; "_" &amp; LOWER(Table57811121314[[#This Row],[Team_Abbrivation_Winbets]])</f>
        <v>uefa_aja</v>
      </c>
      <c r="F181" t="s">
        <v>336</v>
      </c>
      <c r="G181" s="12">
        <v>120</v>
      </c>
      <c r="H181" s="10" t="s">
        <v>337</v>
      </c>
      <c r="I181" s="5" t="s">
        <v>423</v>
      </c>
    </row>
    <row r="182" spans="1:9">
      <c r="A182" s="18">
        <v>2</v>
      </c>
      <c r="B182" s="5">
        <v>14924</v>
      </c>
      <c r="C182" t="s">
        <v>422</v>
      </c>
      <c r="D182" t="s">
        <v>10</v>
      </c>
      <c r="E182" s="5" t="str">
        <f>LOWER(Table57811121314[[#This Row],[Leage_Abbrivation_Winbets]]) &amp; "_" &amp; LOWER(Table57811121314[[#This Row],[Team_Abbrivation_Winbets]])</f>
        <v>uefa_ars</v>
      </c>
      <c r="F182" t="s">
        <v>424</v>
      </c>
      <c r="G182" s="14">
        <v>59</v>
      </c>
      <c r="H182" s="15" t="s">
        <v>424</v>
      </c>
      <c r="I182" s="5" t="s">
        <v>423</v>
      </c>
    </row>
    <row r="183" spans="1:9">
      <c r="A183" s="17">
        <v>3</v>
      </c>
      <c r="B183" s="5">
        <v>14924</v>
      </c>
      <c r="C183" t="s">
        <v>422</v>
      </c>
      <c r="D183" t="s">
        <v>274</v>
      </c>
      <c r="E183" s="5" t="str">
        <f>LOWER(Table57811121314[[#This Row],[Leage_Abbrivation_Winbets]]) &amp; "_" &amp; LOWER(Table57811121314[[#This Row],[Team_Abbrivation_Winbets]])</f>
        <v>uefa_mon</v>
      </c>
      <c r="F183" t="s">
        <v>275</v>
      </c>
      <c r="G183" s="12">
        <v>56</v>
      </c>
      <c r="H183" s="10" t="s">
        <v>276</v>
      </c>
      <c r="I183" s="5" t="s">
        <v>423</v>
      </c>
    </row>
    <row r="184" spans="1:9">
      <c r="A184" s="18">
        <v>4</v>
      </c>
      <c r="B184" s="5">
        <v>14924</v>
      </c>
      <c r="C184" t="s">
        <v>422</v>
      </c>
      <c r="D184" t="s">
        <v>137</v>
      </c>
      <c r="E184" s="5" t="str">
        <f>LOWER(Table57811121314[[#This Row],[Leage_Abbrivation_Winbets]]) &amp; "_" &amp; LOWER(Table57811121314[[#This Row],[Team_Abbrivation_Winbets]])</f>
        <v>uefa_ata</v>
      </c>
      <c r="F184" t="s">
        <v>138</v>
      </c>
      <c r="G184" s="14">
        <v>464</v>
      </c>
      <c r="H184" s="15" t="s">
        <v>138</v>
      </c>
      <c r="I184" s="5" t="s">
        <v>423</v>
      </c>
    </row>
    <row r="185" spans="1:9">
      <c r="A185" s="17">
        <v>5</v>
      </c>
      <c r="B185" s="5">
        <v>14924</v>
      </c>
      <c r="C185" t="s">
        <v>422</v>
      </c>
      <c r="D185" t="s">
        <v>76</v>
      </c>
      <c r="E185" s="5" t="str">
        <f>LOWER(Table57811121314[[#This Row],[Leage_Abbrivation_Winbets]]) &amp; "_" &amp; LOWER(Table57811121314[[#This Row],[Team_Abbrivation_Winbets]])</f>
        <v>uefa_ath</v>
      </c>
      <c r="F185" t="s">
        <v>425</v>
      </c>
      <c r="G185" s="12">
        <v>285</v>
      </c>
      <c r="H185" s="10" t="s">
        <v>78</v>
      </c>
      <c r="I185" s="5" t="s">
        <v>423</v>
      </c>
    </row>
    <row r="186" spans="1:9">
      <c r="A186" s="18">
        <v>6</v>
      </c>
      <c r="B186" s="5">
        <v>14924</v>
      </c>
      <c r="C186" t="s">
        <v>422</v>
      </c>
      <c r="D186" t="s">
        <v>63</v>
      </c>
      <c r="E186" s="5" t="str">
        <f>LOWER(Table57811121314[[#This Row],[Leage_Abbrivation_Winbets]]) &amp; "_" &amp; LOWER(Table57811121314[[#This Row],[Team_Abbrivation_Winbets]])</f>
        <v>uefa_atm</v>
      </c>
      <c r="F186" t="s">
        <v>64</v>
      </c>
      <c r="G186" s="14">
        <v>117</v>
      </c>
      <c r="H186" s="15" t="s">
        <v>64</v>
      </c>
      <c r="I186" s="5" t="s">
        <v>423</v>
      </c>
    </row>
    <row r="187" spans="1:9">
      <c r="A187" s="17">
        <v>7</v>
      </c>
      <c r="B187" s="5">
        <v>14924</v>
      </c>
      <c r="C187" t="s">
        <v>422</v>
      </c>
      <c r="D187" t="s">
        <v>55</v>
      </c>
      <c r="E187" s="5" t="str">
        <f>LOWER(Table57811121314[[#This Row],[Leage_Abbrivation_Winbets]]) &amp; "_" &amp; LOWER(Table57811121314[[#This Row],[Team_Abbrivation_Winbets]])</f>
        <v>uefa_bar</v>
      </c>
      <c r="F187" t="s">
        <v>56</v>
      </c>
      <c r="G187" s="13">
        <v>83</v>
      </c>
      <c r="H187" s="9" t="s">
        <v>57</v>
      </c>
      <c r="I187" s="5" t="s">
        <v>423</v>
      </c>
    </row>
    <row r="188" spans="1:9">
      <c r="A188" s="18">
        <v>8</v>
      </c>
      <c r="B188" s="5">
        <v>14924</v>
      </c>
      <c r="C188" t="s">
        <v>422</v>
      </c>
      <c r="D188" t="s">
        <v>163</v>
      </c>
      <c r="E188" s="5" t="str">
        <f>LOWER(Table57811121314[[#This Row],[Leage_Abbrivation_Winbets]]) &amp; "_" &amp; LOWER(Table57811121314[[#This Row],[Team_Abbrivation_Winbets]])</f>
        <v>uefa_b04</v>
      </c>
      <c r="F188" t="s">
        <v>164</v>
      </c>
      <c r="G188" s="14">
        <v>40</v>
      </c>
      <c r="H188" s="15" t="s">
        <v>164</v>
      </c>
      <c r="I188" s="5" t="s">
        <v>423</v>
      </c>
    </row>
    <row r="189" spans="1:9">
      <c r="A189" s="17">
        <v>9</v>
      </c>
      <c r="B189" s="5">
        <v>14924</v>
      </c>
      <c r="C189" t="s">
        <v>422</v>
      </c>
      <c r="D189" s="9" t="s">
        <v>158</v>
      </c>
      <c r="E189" s="5" t="str">
        <f>LOWER(Table57811121314[[#This Row],[Leage_Abbrivation_Winbets]]) &amp; "_" &amp; LOWER(Table57811121314[[#This Row],[Team_Abbrivation_Winbets]])</f>
        <v>uefa_mun</v>
      </c>
      <c r="F189" s="8" t="s">
        <v>159</v>
      </c>
      <c r="G189" s="12">
        <v>38</v>
      </c>
      <c r="H189" s="10" t="s">
        <v>160</v>
      </c>
      <c r="I189" s="5" t="s">
        <v>423</v>
      </c>
    </row>
    <row r="190" spans="1:9">
      <c r="A190" s="18">
        <v>10</v>
      </c>
      <c r="B190" s="5">
        <v>14924</v>
      </c>
      <c r="C190" t="s">
        <v>422</v>
      </c>
      <c r="D190" t="s">
        <v>426</v>
      </c>
      <c r="E190" s="5" t="str">
        <f>LOWER(Table57811121314[[#This Row],[Leage_Abbrivation_Winbets]]) &amp; "_" &amp; LOWER(Table57811121314[[#This Row],[Team_Abbrivation_Winbets]])</f>
        <v>uefa_ben</v>
      </c>
      <c r="F190" t="s">
        <v>427</v>
      </c>
      <c r="G190" s="14">
        <v>78</v>
      </c>
      <c r="H190" s="15" t="s">
        <v>427</v>
      </c>
      <c r="I190" s="5" t="s">
        <v>423</v>
      </c>
    </row>
    <row r="191" spans="1:9">
      <c r="A191" s="17">
        <v>11</v>
      </c>
      <c r="B191" s="5">
        <v>14924</v>
      </c>
      <c r="C191" t="s">
        <v>422</v>
      </c>
      <c r="D191" t="s">
        <v>428</v>
      </c>
      <c r="E191" s="5" t="str">
        <f>LOWER(Table57811121314[[#This Row],[Leage_Abbrivation_Winbets]]) &amp; "_" &amp; LOWER(Table57811121314[[#This Row],[Team_Abbrivation_Winbets]])</f>
        <v>uefa_bodo</v>
      </c>
      <c r="F191" t="s">
        <v>429</v>
      </c>
      <c r="G191" s="12">
        <v>332</v>
      </c>
      <c r="H191" s="10" t="s">
        <v>430</v>
      </c>
      <c r="I191" s="5" t="s">
        <v>423</v>
      </c>
    </row>
    <row r="192" spans="1:9">
      <c r="A192" s="18">
        <v>12</v>
      </c>
      <c r="B192" s="5">
        <v>14924</v>
      </c>
      <c r="C192" t="s">
        <v>422</v>
      </c>
      <c r="D192" t="s">
        <v>148</v>
      </c>
      <c r="E192" s="5" t="str">
        <f>LOWER(Table57811121314[[#This Row],[Leage_Abbrivation_Winbets]]) &amp; "_" &amp; LOWER(Table57811121314[[#This Row],[Team_Abbrivation_Winbets]])</f>
        <v>uefa_dor</v>
      </c>
      <c r="F192" t="s">
        <v>149</v>
      </c>
      <c r="G192" s="12">
        <v>33</v>
      </c>
      <c r="H192" s="10" t="s">
        <v>149</v>
      </c>
      <c r="I192" s="5" t="s">
        <v>423</v>
      </c>
    </row>
    <row r="193" spans="1:9">
      <c r="A193" s="17">
        <v>13</v>
      </c>
      <c r="B193" s="5">
        <v>14924</v>
      </c>
      <c r="C193" t="s">
        <v>422</v>
      </c>
      <c r="D193" t="s">
        <v>29</v>
      </c>
      <c r="E193" s="5" t="str">
        <f>LOWER(Table57811121314[[#This Row],[Leage_Abbrivation_Winbets]]) &amp; "_" &amp; LOWER(Table57811121314[[#This Row],[Team_Abbrivation_Winbets]])</f>
        <v>uefa_che</v>
      </c>
      <c r="F193" t="s">
        <v>431</v>
      </c>
      <c r="G193" s="13">
        <v>152</v>
      </c>
      <c r="H193" s="9" t="s">
        <v>431</v>
      </c>
      <c r="I193" s="5" t="s">
        <v>423</v>
      </c>
    </row>
    <row r="194" spans="1:9">
      <c r="A194" s="18">
        <v>14</v>
      </c>
      <c r="B194" s="5">
        <v>14924</v>
      </c>
      <c r="C194" t="s">
        <v>422</v>
      </c>
      <c r="D194" t="s">
        <v>432</v>
      </c>
      <c r="E194" s="5" t="str">
        <f>LOWER(Table57811121314[[#This Row],[Leage_Abbrivation_Winbets]]) &amp; "_" &amp; LOWER(Table57811121314[[#This Row],[Team_Abbrivation_Winbets]])</f>
        <v>uefa_bru</v>
      </c>
      <c r="F194" t="s">
        <v>433</v>
      </c>
      <c r="G194" s="12">
        <v>95</v>
      </c>
      <c r="H194" s="10" t="s">
        <v>433</v>
      </c>
      <c r="I194" s="5" t="s">
        <v>423</v>
      </c>
    </row>
    <row r="195" spans="1:9">
      <c r="A195" s="17">
        <v>15</v>
      </c>
      <c r="B195" s="5">
        <v>14924</v>
      </c>
      <c r="C195" t="s">
        <v>422</v>
      </c>
      <c r="D195" t="s">
        <v>174</v>
      </c>
      <c r="E195" s="5" t="str">
        <f>LOWER(Table57811121314[[#This Row],[Leage_Abbrivation_Winbets]]) &amp; "_" &amp; LOWER(Table57811121314[[#This Row],[Team_Abbrivation_Winbets]])</f>
        <v>uefa_sge</v>
      </c>
      <c r="F195" t="s">
        <v>175</v>
      </c>
      <c r="G195" s="12">
        <v>44</v>
      </c>
      <c r="H195" s="10" t="s">
        <v>175</v>
      </c>
      <c r="I195" s="5" t="s">
        <v>423</v>
      </c>
    </row>
    <row r="196" spans="1:9">
      <c r="A196" s="18">
        <v>16</v>
      </c>
      <c r="B196" s="5">
        <v>14924</v>
      </c>
      <c r="C196" t="s">
        <v>422</v>
      </c>
      <c r="D196" t="s">
        <v>434</v>
      </c>
      <c r="E196" s="5" t="str">
        <f>LOWER(Table57811121314[[#This Row],[Leage_Abbrivation_Winbets]]) &amp; "_" &amp; LOWER(Table57811121314[[#This Row],[Team_Abbrivation_Winbets]])</f>
        <v>uefa_kbh</v>
      </c>
      <c r="F196" t="s">
        <v>435</v>
      </c>
      <c r="G196" s="12">
        <v>55</v>
      </c>
      <c r="H196" s="11" t="s">
        <v>436</v>
      </c>
      <c r="I196" s="5" t="s">
        <v>423</v>
      </c>
    </row>
    <row r="197" spans="1:9">
      <c r="A197" s="17">
        <v>17</v>
      </c>
      <c r="B197" s="5">
        <v>14924</v>
      </c>
      <c r="C197" t="s">
        <v>422</v>
      </c>
      <c r="D197" t="s">
        <v>437</v>
      </c>
      <c r="E197" s="5" t="str">
        <f>LOWER(Table57811121314[[#This Row],[Leage_Abbrivation_Winbets]]) &amp; "_" &amp; LOWER(Table57811121314[[#This Row],[Team_Abbrivation_Winbets]])</f>
        <v>uefa_qar</v>
      </c>
      <c r="F197" t="s">
        <v>438</v>
      </c>
      <c r="G197" s="13">
        <v>75</v>
      </c>
      <c r="H197" s="9" t="s">
        <v>439</v>
      </c>
      <c r="I197" s="5" t="s">
        <v>423</v>
      </c>
    </row>
    <row r="198" spans="1:9">
      <c r="A198" s="18">
        <v>18</v>
      </c>
      <c r="B198" s="5">
        <v>14924</v>
      </c>
      <c r="C198" t="s">
        <v>422</v>
      </c>
      <c r="D198" t="s">
        <v>440</v>
      </c>
      <c r="E198" s="5" t="str">
        <f>LOWER(Table57811121314[[#This Row],[Leage_Abbrivation_Winbets]]) &amp; "_" &amp; LOWER(Table57811121314[[#This Row],[Team_Abbrivation_Winbets]])</f>
        <v>uefa_gal</v>
      </c>
      <c r="F198" t="s">
        <v>441</v>
      </c>
      <c r="G198" s="14">
        <v>187</v>
      </c>
      <c r="H198" s="15" t="s">
        <v>441</v>
      </c>
      <c r="I198" s="5" t="s">
        <v>423</v>
      </c>
    </row>
    <row r="199" spans="1:9">
      <c r="A199" s="17">
        <v>19</v>
      </c>
      <c r="B199" s="5">
        <v>14924</v>
      </c>
      <c r="C199" t="s">
        <v>422</v>
      </c>
      <c r="D199" t="s">
        <v>442</v>
      </c>
      <c r="E199" s="5" t="str">
        <f>LOWER(Table57811121314[[#This Row],[Leage_Abbrivation_Winbets]]) &amp; "_" &amp; LOWER(Table57811121314[[#This Row],[Team_Abbrivation_Winbets]])</f>
        <v>uefa_int</v>
      </c>
      <c r="F199" t="s">
        <v>443</v>
      </c>
      <c r="G199" s="12">
        <v>470</v>
      </c>
      <c r="H199" s="10" t="s">
        <v>128</v>
      </c>
      <c r="I199" s="5" t="s">
        <v>423</v>
      </c>
    </row>
    <row r="200" spans="1:9">
      <c r="A200" s="18">
        <v>20</v>
      </c>
      <c r="B200" s="5">
        <v>14924</v>
      </c>
      <c r="C200" t="s">
        <v>422</v>
      </c>
      <c r="D200" t="s">
        <v>110</v>
      </c>
      <c r="E200" s="5" t="str">
        <f>LOWER(Table57811121314[[#This Row],[Leage_Abbrivation_Winbets]]) &amp; "_" &amp; LOWER(Table57811121314[[#This Row],[Team_Abbrivation_Winbets]])</f>
        <v>uefa_juv</v>
      </c>
      <c r="F200" t="s">
        <v>111</v>
      </c>
      <c r="G200" s="14">
        <v>90</v>
      </c>
      <c r="H200" s="15" t="s">
        <v>111</v>
      </c>
      <c r="I200" s="5" t="s">
        <v>423</v>
      </c>
    </row>
    <row r="201" spans="1:9">
      <c r="A201" s="5"/>
      <c r="B201" s="5">
        <v>14924</v>
      </c>
      <c r="C201" t="s">
        <v>422</v>
      </c>
      <c r="D201" t="s">
        <v>444</v>
      </c>
      <c r="E201" s="5" t="str">
        <f>LOWER(Table57811121314[[#This Row],[Leage_Abbrivation_Winbets]]) &amp; "_" &amp; LOWER(Table57811121314[[#This Row],[Team_Abbrivation_Winbets]])</f>
        <v>uefa_kai</v>
      </c>
      <c r="F201" t="s">
        <v>445</v>
      </c>
      <c r="G201" s="13">
        <v>5408</v>
      </c>
      <c r="H201" s="9" t="s">
        <v>446</v>
      </c>
      <c r="I201" s="5" t="s">
        <v>423</v>
      </c>
    </row>
    <row r="202" spans="1:9">
      <c r="A202" s="5"/>
      <c r="B202" s="5">
        <v>14924</v>
      </c>
      <c r="C202" t="s">
        <v>422</v>
      </c>
      <c r="D202" t="s">
        <v>27</v>
      </c>
      <c r="E202" s="5" t="str">
        <f>LOWER(Table57811121314[[#This Row],[Leage_Abbrivation_Winbets]]) &amp; "_" &amp; LOWER(Table57811121314[[#This Row],[Team_Abbrivation_Winbets]])</f>
        <v>uefa_liv</v>
      </c>
      <c r="F202" t="s">
        <v>447</v>
      </c>
      <c r="G202" s="12">
        <v>151</v>
      </c>
      <c r="H202" s="10" t="s">
        <v>447</v>
      </c>
      <c r="I202" s="5" t="s">
        <v>423</v>
      </c>
    </row>
    <row r="203" spans="1:9">
      <c r="A203" s="5"/>
      <c r="B203" s="5">
        <v>14924</v>
      </c>
      <c r="C203" t="s">
        <v>422</v>
      </c>
      <c r="D203" t="s">
        <v>15</v>
      </c>
      <c r="E203" s="5" t="str">
        <f>LOWER(Table57811121314[[#This Row],[Leage_Abbrivation_Winbets]]) &amp; "_" &amp; LOWER(Table57811121314[[#This Row],[Team_Abbrivation_Winbets]])</f>
        <v>uefa_mnc</v>
      </c>
      <c r="F203" t="s">
        <v>448</v>
      </c>
      <c r="G203" s="12">
        <v>93</v>
      </c>
      <c r="H203" s="10" t="s">
        <v>448</v>
      </c>
      <c r="I203" s="5" t="s">
        <v>423</v>
      </c>
    </row>
    <row r="204" spans="1:9">
      <c r="A204" s="5"/>
      <c r="B204" s="5">
        <v>14924</v>
      </c>
      <c r="C204" t="s">
        <v>422</v>
      </c>
      <c r="D204" t="s">
        <v>301</v>
      </c>
      <c r="E204" s="5" t="str">
        <f>LOWER(Table57811121314[[#This Row],[Leage_Abbrivation_Winbets]]) &amp; "_" &amp; LOWER(Table57811121314[[#This Row],[Team_Abbrivation_Winbets]])</f>
        <v>uefa_olm</v>
      </c>
      <c r="F204" t="s">
        <v>302</v>
      </c>
      <c r="G204" s="12">
        <v>443</v>
      </c>
      <c r="H204" s="10" t="s">
        <v>303</v>
      </c>
      <c r="I204" s="5" t="s">
        <v>423</v>
      </c>
    </row>
    <row r="205" spans="1:9">
      <c r="A205" s="5"/>
      <c r="B205" s="5">
        <v>14924</v>
      </c>
      <c r="C205" t="s">
        <v>422</v>
      </c>
      <c r="D205" t="s">
        <v>107</v>
      </c>
      <c r="E205" s="5" t="str">
        <f>LOWER(Table57811121314[[#This Row],[Leage_Abbrivation_Winbets]]) &amp; "_" &amp; LOWER(Table57811121314[[#This Row],[Team_Abbrivation_Winbets]])</f>
        <v>uefa_nap</v>
      </c>
      <c r="F205" t="s">
        <v>108</v>
      </c>
      <c r="G205" s="13">
        <v>74</v>
      </c>
      <c r="H205" s="9" t="s">
        <v>108</v>
      </c>
      <c r="I205" s="5" t="s">
        <v>423</v>
      </c>
    </row>
    <row r="206" spans="1:9">
      <c r="A206" s="5"/>
      <c r="B206" s="5">
        <v>14924</v>
      </c>
      <c r="C206" t="s">
        <v>422</v>
      </c>
      <c r="D206" t="s">
        <v>35</v>
      </c>
      <c r="E206" s="5" t="str">
        <f>LOWER(Table57811121314[[#This Row],[Leage_Abbrivation_Winbets]]) &amp; "_" &amp; LOWER(Table57811121314[[#This Row],[Team_Abbrivation_Winbets]])</f>
        <v>uefa_new</v>
      </c>
      <c r="F206" t="s">
        <v>449</v>
      </c>
      <c r="G206" s="12">
        <v>157</v>
      </c>
      <c r="H206" s="10" t="s">
        <v>449</v>
      </c>
      <c r="I206" s="5" t="s">
        <v>423</v>
      </c>
    </row>
    <row r="207" spans="1:9">
      <c r="A207" s="5"/>
      <c r="B207" s="5">
        <v>14924</v>
      </c>
      <c r="C207" t="s">
        <v>422</v>
      </c>
      <c r="D207" t="s">
        <v>450</v>
      </c>
      <c r="E207" s="5" t="str">
        <f>LOWER(Table57811121314[[#This Row],[Leage_Abbrivation_Winbets]]) &amp; "_" &amp; LOWER(Table57811121314[[#This Row],[Team_Abbrivation_Winbets]])</f>
        <v>uefa_oly</v>
      </c>
      <c r="F207" t="s">
        <v>451</v>
      </c>
      <c r="G207" s="13">
        <v>116</v>
      </c>
      <c r="H207" s="9" t="s">
        <v>452</v>
      </c>
      <c r="I207" s="5" t="s">
        <v>423</v>
      </c>
    </row>
    <row r="208" spans="1:9">
      <c r="A208" s="5"/>
      <c r="B208" s="5">
        <v>14924</v>
      </c>
      <c r="C208" t="s">
        <v>422</v>
      </c>
      <c r="D208" t="s">
        <v>453</v>
      </c>
      <c r="E208" s="5" t="str">
        <f>LOWER(Table57811121314[[#This Row],[Leage_Abbrivation_Winbets]]) &amp; "_" &amp; LOWER(Table57811121314[[#This Row],[Team_Abbrivation_Winbets]])</f>
        <v>uefa_paf</v>
      </c>
      <c r="F208" t="s">
        <v>454</v>
      </c>
      <c r="G208" s="12">
        <v>3743</v>
      </c>
      <c r="H208" s="10" t="s">
        <v>455</v>
      </c>
      <c r="I208" s="5" t="s">
        <v>423</v>
      </c>
    </row>
    <row r="209" spans="1:9">
      <c r="A209" s="5"/>
      <c r="B209" s="5">
        <v>14924</v>
      </c>
      <c r="C209" t="s">
        <v>422</v>
      </c>
      <c r="D209" t="s">
        <v>282</v>
      </c>
      <c r="E209" s="5" t="str">
        <f>LOWER(Table57811121314[[#This Row],[Leage_Abbrivation_Winbets]]) &amp; "_" &amp; LOWER(Table57811121314[[#This Row],[Team_Abbrivation_Winbets]])</f>
        <v>uefa_psg</v>
      </c>
      <c r="F209" t="s">
        <v>283</v>
      </c>
      <c r="G209" s="13">
        <v>68</v>
      </c>
      <c r="H209" s="9" t="s">
        <v>282</v>
      </c>
      <c r="I209" s="5" t="s">
        <v>423</v>
      </c>
    </row>
    <row r="210" spans="1:9">
      <c r="A210" s="5"/>
      <c r="B210" s="5">
        <v>14924</v>
      </c>
      <c r="C210" t="s">
        <v>422</v>
      </c>
      <c r="D210" t="s">
        <v>339</v>
      </c>
      <c r="E210" s="5" t="str">
        <f>LOWER(Table57811121314[[#This Row],[Leage_Abbrivation_Winbets]]) &amp; "_" &amp; LOWER(Table57811121314[[#This Row],[Team_Abbrivation_Winbets]])</f>
        <v>uefa_psv</v>
      </c>
      <c r="F210" t="s">
        <v>340</v>
      </c>
      <c r="G210" s="12">
        <v>121</v>
      </c>
      <c r="H210" s="10" t="s">
        <v>339</v>
      </c>
      <c r="I210" s="5" t="s">
        <v>423</v>
      </c>
    </row>
    <row r="211" spans="1:9">
      <c r="A211" s="5"/>
      <c r="B211" s="5">
        <v>14924</v>
      </c>
      <c r="C211" t="s">
        <v>422</v>
      </c>
      <c r="D211" t="s">
        <v>58</v>
      </c>
      <c r="E211" s="5" t="str">
        <f>LOWER(Table57811121314[[#This Row],[Leage_Abbrivation_Winbets]]) &amp; "_" &amp; LOWER(Table57811121314[[#This Row],[Team_Abbrivation_Winbets]])</f>
        <v>uefa_rma</v>
      </c>
      <c r="F211" t="s">
        <v>59</v>
      </c>
      <c r="G211" s="12">
        <v>84</v>
      </c>
      <c r="H211" s="10" t="s">
        <v>59</v>
      </c>
      <c r="I211" s="5" t="s">
        <v>423</v>
      </c>
    </row>
    <row r="212" spans="1:9">
      <c r="A212" s="5"/>
      <c r="B212" s="5">
        <v>14924</v>
      </c>
      <c r="C212" t="s">
        <v>422</v>
      </c>
      <c r="D212" t="s">
        <v>456</v>
      </c>
      <c r="E212" s="5" t="str">
        <f>LOWER(Table57811121314[[#This Row],[Leage_Abbrivation_Winbets]]) &amp; "_" &amp; LOWER(Table57811121314[[#This Row],[Team_Abbrivation_Winbets]])</f>
        <v>uefa_slp</v>
      </c>
      <c r="F212" t="s">
        <v>457</v>
      </c>
      <c r="G212" s="12">
        <v>1213</v>
      </c>
      <c r="H212" s="10" t="s">
        <v>458</v>
      </c>
      <c r="I212" s="5" t="s">
        <v>423</v>
      </c>
    </row>
    <row r="213" spans="1:9">
      <c r="A213" s="5"/>
      <c r="B213" s="5">
        <v>14924</v>
      </c>
      <c r="C213" t="s">
        <v>422</v>
      </c>
      <c r="D213" t="s">
        <v>459</v>
      </c>
      <c r="E213" s="5" t="str">
        <f>LOWER(Table57811121314[[#This Row],[Leage_Abbrivation_Winbets]]) &amp; "_" &amp; LOWER(Table57811121314[[#This Row],[Team_Abbrivation_Winbets]])</f>
        <v>uefa_scp</v>
      </c>
      <c r="F213" t="s">
        <v>460</v>
      </c>
      <c r="G213" s="12">
        <v>114</v>
      </c>
      <c r="H213" s="10" t="s">
        <v>460</v>
      </c>
      <c r="I213" s="5" t="s">
        <v>423</v>
      </c>
    </row>
    <row r="214" spans="1:9">
      <c r="A214" s="5"/>
      <c r="B214" s="5">
        <v>14924</v>
      </c>
      <c r="C214" t="s">
        <v>422</v>
      </c>
      <c r="D214" t="s">
        <v>13</v>
      </c>
      <c r="E214" s="5" t="str">
        <f>LOWER(Table57811121314[[#This Row],[Leage_Abbrivation_Winbets]]) &amp; "_" &amp; LOWER(Table57811121314[[#This Row],[Team_Abbrivation_Winbets]])</f>
        <v>uefa_tot</v>
      </c>
      <c r="F214" t="s">
        <v>461</v>
      </c>
      <c r="G214" s="12">
        <v>92</v>
      </c>
      <c r="H214" s="10" t="s">
        <v>461</v>
      </c>
      <c r="I214" s="5" t="s">
        <v>423</v>
      </c>
    </row>
    <row r="215" spans="1:9">
      <c r="A215" s="5"/>
      <c r="B215" s="5">
        <v>14924</v>
      </c>
      <c r="C215" t="s">
        <v>422</v>
      </c>
      <c r="D215" t="s">
        <v>462</v>
      </c>
      <c r="E215" s="5" t="str">
        <f>LOWER(Table57811121314[[#This Row],[Leage_Abbrivation_Winbets]]) &amp; "_" &amp; LOWER(Table57811121314[[#This Row],[Team_Abbrivation_Winbets]])</f>
        <v>uefa_usg</v>
      </c>
      <c r="F215" t="s">
        <v>463</v>
      </c>
      <c r="G215" s="13">
        <v>2572</v>
      </c>
      <c r="H215" s="9" t="s">
        <v>464</v>
      </c>
      <c r="I215" s="5" t="s">
        <v>423</v>
      </c>
    </row>
    <row r="216" spans="1:9">
      <c r="A216" s="5"/>
      <c r="B216" s="5">
        <v>14924</v>
      </c>
      <c r="C216" t="s">
        <v>422</v>
      </c>
      <c r="D216" t="s">
        <v>52</v>
      </c>
      <c r="E216" s="5" t="str">
        <f>LOWER(Table57811121314[[#This Row],[Leage_Abbrivation_Winbets]]) &amp; "_" &amp; LOWER(Table57811121314[[#This Row],[Team_Abbrivation_Winbets]])</f>
        <v>uefa_vil</v>
      </c>
      <c r="F216" t="s">
        <v>53</v>
      </c>
      <c r="G216" s="12">
        <v>76</v>
      </c>
      <c r="H216" s="10" t="s">
        <v>53</v>
      </c>
      <c r="I216" s="5" t="s">
        <v>423</v>
      </c>
    </row>
  </sheetData>
  <mergeCells count="1">
    <mergeCell ref="A179:H179"/>
  </mergeCells>
  <phoneticPr fontId="3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CE62-7D63-4432-978A-B2141079C75C}">
  <dimension ref="A1:H199"/>
  <sheetViews>
    <sheetView tabSelected="1" workbookViewId="0">
      <selection activeCell="E204" sqref="E204"/>
    </sheetView>
  </sheetViews>
  <sheetFormatPr defaultRowHeight="14.45"/>
  <cols>
    <col min="1" max="1" width="14.5703125" bestFit="1" customWidth="1"/>
    <col min="2" max="2" width="11.7109375" bestFit="1" customWidth="1"/>
    <col min="3" max="3" width="21" bestFit="1" customWidth="1"/>
    <col min="4" max="4" width="14.28515625" bestFit="1" customWidth="1"/>
    <col min="5" max="5" width="24.28515625" bestFit="1" customWidth="1"/>
    <col min="6" max="6" width="13.140625" bestFit="1" customWidth="1"/>
    <col min="7" max="7" width="24.28515625" bestFit="1" customWidth="1"/>
    <col min="8" max="8" width="20.5703125" bestFit="1" customWidth="1"/>
  </cols>
  <sheetData>
    <row r="1" spans="1:8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6</v>
      </c>
      <c r="G1" t="s">
        <v>7</v>
      </c>
      <c r="H1" t="s">
        <v>470</v>
      </c>
    </row>
    <row r="2" spans="1:8">
      <c r="A2">
        <v>15050</v>
      </c>
      <c r="B2" t="s">
        <v>9</v>
      </c>
      <c r="C2" t="s">
        <v>10</v>
      </c>
      <c r="D2" t="str">
        <f>LOWER(B2) &amp; "_" &amp; LOWER(C2)</f>
        <v>epl_ars</v>
      </c>
      <c r="E2" t="s">
        <v>11</v>
      </c>
      <c r="F2">
        <v>59</v>
      </c>
      <c r="G2" t="s">
        <v>11</v>
      </c>
      <c r="H2" t="s">
        <v>12</v>
      </c>
    </row>
    <row r="3" spans="1:8">
      <c r="A3">
        <v>15050</v>
      </c>
      <c r="B3" t="s">
        <v>9</v>
      </c>
      <c r="C3" t="s">
        <v>13</v>
      </c>
      <c r="D3" t="str">
        <f>LOWER(B3) &amp; "_" &amp; LOWER(C3)</f>
        <v>epl_tot</v>
      </c>
      <c r="E3" t="s">
        <v>14</v>
      </c>
      <c r="F3">
        <v>92</v>
      </c>
      <c r="G3" t="s">
        <v>14</v>
      </c>
      <c r="H3" t="s">
        <v>12</v>
      </c>
    </row>
    <row r="4" spans="1:8">
      <c r="A4">
        <v>15050</v>
      </c>
      <c r="B4" t="s">
        <v>9</v>
      </c>
      <c r="C4" t="s">
        <v>15</v>
      </c>
      <c r="D4" t="str">
        <f>LOWER(B4) &amp; "_" &amp; LOWER(C4)</f>
        <v>epl_mnc</v>
      </c>
      <c r="E4" t="s">
        <v>16</v>
      </c>
      <c r="F4">
        <v>93</v>
      </c>
      <c r="G4" t="s">
        <v>16</v>
      </c>
      <c r="H4" t="s">
        <v>12</v>
      </c>
    </row>
    <row r="5" spans="1:8">
      <c r="A5">
        <v>15050</v>
      </c>
      <c r="B5" t="s">
        <v>9</v>
      </c>
      <c r="C5" t="s">
        <v>17</v>
      </c>
      <c r="D5" t="str">
        <f t="shared" ref="D5:D68" si="0">LOWER(B5) &amp; "_" &amp; LOWER(C5)</f>
        <v>epl_cry</v>
      </c>
      <c r="E5" t="s">
        <v>18</v>
      </c>
      <c r="F5">
        <v>143</v>
      </c>
      <c r="G5" t="s">
        <v>18</v>
      </c>
      <c r="H5" t="s">
        <v>12</v>
      </c>
    </row>
    <row r="6" spans="1:8">
      <c r="A6">
        <v>15050</v>
      </c>
      <c r="B6" t="s">
        <v>9</v>
      </c>
      <c r="C6" t="s">
        <v>19</v>
      </c>
      <c r="D6" t="str">
        <f t="shared" si="0"/>
        <v>epl_eve</v>
      </c>
      <c r="E6" t="s">
        <v>20</v>
      </c>
      <c r="F6">
        <v>144</v>
      </c>
      <c r="G6" t="s">
        <v>20</v>
      </c>
      <c r="H6" t="s">
        <v>12</v>
      </c>
    </row>
    <row r="7" spans="1:8">
      <c r="A7">
        <v>15050</v>
      </c>
      <c r="B7" t="s">
        <v>9</v>
      </c>
      <c r="C7" t="s">
        <v>21</v>
      </c>
      <c r="D7" t="str">
        <f t="shared" si="0"/>
        <v>epl_bur</v>
      </c>
      <c r="E7" t="s">
        <v>22</v>
      </c>
      <c r="F7">
        <v>145</v>
      </c>
      <c r="G7" t="s">
        <v>22</v>
      </c>
      <c r="H7" t="s">
        <v>12</v>
      </c>
    </row>
    <row r="8" spans="1:8">
      <c r="A8">
        <v>15050</v>
      </c>
      <c r="B8" t="s">
        <v>9</v>
      </c>
      <c r="C8" t="s">
        <v>23</v>
      </c>
      <c r="D8" t="str">
        <f t="shared" si="0"/>
        <v>epl_bou</v>
      </c>
      <c r="E8" t="s">
        <v>24</v>
      </c>
      <c r="F8">
        <v>148</v>
      </c>
      <c r="G8" t="s">
        <v>24</v>
      </c>
      <c r="H8" t="s">
        <v>12</v>
      </c>
    </row>
    <row r="9" spans="1:8">
      <c r="A9">
        <v>15050</v>
      </c>
      <c r="B9" t="s">
        <v>9</v>
      </c>
      <c r="C9" t="s">
        <v>25</v>
      </c>
      <c r="D9" t="str">
        <f t="shared" si="0"/>
        <v>epl_man</v>
      </c>
      <c r="E9" t="s">
        <v>26</v>
      </c>
      <c r="F9">
        <v>149</v>
      </c>
      <c r="G9" t="s">
        <v>26</v>
      </c>
      <c r="H9" t="s">
        <v>12</v>
      </c>
    </row>
    <row r="10" spans="1:8">
      <c r="A10">
        <v>15050</v>
      </c>
      <c r="B10" t="s">
        <v>9</v>
      </c>
      <c r="C10" t="s">
        <v>27</v>
      </c>
      <c r="D10" t="str">
        <f t="shared" si="0"/>
        <v>epl_liv</v>
      </c>
      <c r="E10" t="s">
        <v>28</v>
      </c>
      <c r="F10">
        <v>151</v>
      </c>
      <c r="G10" t="s">
        <v>28</v>
      </c>
      <c r="H10" t="s">
        <v>12</v>
      </c>
    </row>
    <row r="11" spans="1:8">
      <c r="A11">
        <v>15050</v>
      </c>
      <c r="B11" t="s">
        <v>9</v>
      </c>
      <c r="C11" t="s">
        <v>29</v>
      </c>
      <c r="D11" t="str">
        <f t="shared" si="0"/>
        <v>epl_che</v>
      </c>
      <c r="E11" t="s">
        <v>30</v>
      </c>
      <c r="F11">
        <v>152</v>
      </c>
      <c r="G11" t="s">
        <v>30</v>
      </c>
      <c r="H11" t="s">
        <v>12</v>
      </c>
    </row>
    <row r="12" spans="1:8">
      <c r="A12">
        <v>15050</v>
      </c>
      <c r="B12" t="s">
        <v>9</v>
      </c>
      <c r="C12" t="s">
        <v>31</v>
      </c>
      <c r="D12" t="str">
        <f t="shared" si="0"/>
        <v>epl_whu</v>
      </c>
      <c r="E12" t="s">
        <v>32</v>
      </c>
      <c r="F12">
        <v>153</v>
      </c>
      <c r="G12" t="s">
        <v>32</v>
      </c>
      <c r="H12" t="s">
        <v>12</v>
      </c>
    </row>
    <row r="13" spans="1:8">
      <c r="A13">
        <v>15050</v>
      </c>
      <c r="B13" t="s">
        <v>9</v>
      </c>
      <c r="C13" t="s">
        <v>33</v>
      </c>
      <c r="D13" t="str">
        <f t="shared" si="0"/>
        <v>epl_sun</v>
      </c>
      <c r="E13" t="s">
        <v>34</v>
      </c>
      <c r="F13">
        <v>156</v>
      </c>
      <c r="G13" t="s">
        <v>34</v>
      </c>
      <c r="H13" t="s">
        <v>12</v>
      </c>
    </row>
    <row r="14" spans="1:8">
      <c r="A14">
        <v>15050</v>
      </c>
      <c r="B14" t="s">
        <v>9</v>
      </c>
      <c r="C14" t="s">
        <v>35</v>
      </c>
      <c r="D14" t="str">
        <f t="shared" si="0"/>
        <v>epl_new</v>
      </c>
      <c r="E14" t="s">
        <v>36</v>
      </c>
      <c r="F14">
        <v>157</v>
      </c>
      <c r="G14" t="s">
        <v>36</v>
      </c>
      <c r="H14" t="s">
        <v>12</v>
      </c>
    </row>
    <row r="15" spans="1:8">
      <c r="A15">
        <v>15050</v>
      </c>
      <c r="B15" t="s">
        <v>9</v>
      </c>
      <c r="C15" t="s">
        <v>37</v>
      </c>
      <c r="D15" t="str">
        <f t="shared" si="0"/>
        <v>epl_avl</v>
      </c>
      <c r="E15" t="s">
        <v>38</v>
      </c>
      <c r="F15">
        <v>158</v>
      </c>
      <c r="G15" t="s">
        <v>38</v>
      </c>
      <c r="H15" t="s">
        <v>12</v>
      </c>
    </row>
    <row r="16" spans="1:8">
      <c r="A16">
        <v>15050</v>
      </c>
      <c r="B16" t="s">
        <v>9</v>
      </c>
      <c r="C16" t="s">
        <v>39</v>
      </c>
      <c r="D16" t="str">
        <f t="shared" si="0"/>
        <v>epl_ful</v>
      </c>
      <c r="E16" t="s">
        <v>40</v>
      </c>
      <c r="F16">
        <v>162</v>
      </c>
      <c r="G16" t="s">
        <v>40</v>
      </c>
      <c r="H16" t="s">
        <v>12</v>
      </c>
    </row>
    <row r="17" spans="1:8">
      <c r="A17">
        <v>15050</v>
      </c>
      <c r="B17" t="s">
        <v>9</v>
      </c>
      <c r="C17" t="s">
        <v>41</v>
      </c>
      <c r="D17" t="str">
        <f t="shared" si="0"/>
        <v>epl_bha</v>
      </c>
      <c r="E17" t="s">
        <v>42</v>
      </c>
      <c r="F17">
        <v>209</v>
      </c>
      <c r="G17" t="s">
        <v>42</v>
      </c>
      <c r="H17" t="s">
        <v>12</v>
      </c>
    </row>
    <row r="18" spans="1:8">
      <c r="A18">
        <v>15050</v>
      </c>
      <c r="B18" t="s">
        <v>9</v>
      </c>
      <c r="C18" t="s">
        <v>43</v>
      </c>
      <c r="D18" t="str">
        <f t="shared" si="0"/>
        <v>epl_nfo</v>
      </c>
      <c r="E18" t="s">
        <v>44</v>
      </c>
      <c r="F18">
        <v>211</v>
      </c>
      <c r="G18" t="s">
        <v>44</v>
      </c>
      <c r="H18" t="s">
        <v>12</v>
      </c>
    </row>
    <row r="19" spans="1:8">
      <c r="A19">
        <v>15050</v>
      </c>
      <c r="B19" t="s">
        <v>9</v>
      </c>
      <c r="C19" t="s">
        <v>45</v>
      </c>
      <c r="D19" t="str">
        <f t="shared" si="0"/>
        <v>epl_bre</v>
      </c>
      <c r="E19" t="s">
        <v>46</v>
      </c>
      <c r="F19">
        <v>218</v>
      </c>
      <c r="G19" t="s">
        <v>46</v>
      </c>
      <c r="H19" t="s">
        <v>12</v>
      </c>
    </row>
    <row r="20" spans="1:8">
      <c r="A20">
        <v>15050</v>
      </c>
      <c r="B20" t="s">
        <v>9</v>
      </c>
      <c r="C20" t="s">
        <v>47</v>
      </c>
      <c r="D20" t="str">
        <f t="shared" si="0"/>
        <v>epl_lee</v>
      </c>
      <c r="E20" t="s">
        <v>48</v>
      </c>
      <c r="F20">
        <v>222</v>
      </c>
      <c r="G20" t="s">
        <v>48</v>
      </c>
      <c r="H20" t="s">
        <v>12</v>
      </c>
    </row>
    <row r="21" spans="1:8">
      <c r="A21">
        <v>15050</v>
      </c>
      <c r="B21" t="s">
        <v>9</v>
      </c>
      <c r="C21" t="s">
        <v>49</v>
      </c>
      <c r="D21" t="str">
        <f t="shared" si="0"/>
        <v>epl_wol</v>
      </c>
      <c r="E21" t="s">
        <v>50</v>
      </c>
      <c r="F21">
        <v>223</v>
      </c>
      <c r="G21" t="s">
        <v>50</v>
      </c>
      <c r="H21" t="s">
        <v>12</v>
      </c>
    </row>
    <row r="22" spans="1:8">
      <c r="A22">
        <v>14956</v>
      </c>
      <c r="B22" t="s">
        <v>51</v>
      </c>
      <c r="C22" t="s">
        <v>52</v>
      </c>
      <c r="D22" t="str">
        <f t="shared" si="0"/>
        <v>laliga_vil</v>
      </c>
      <c r="E22" t="s">
        <v>53</v>
      </c>
      <c r="F22">
        <v>76</v>
      </c>
      <c r="G22" t="s">
        <v>53</v>
      </c>
      <c r="H22" t="s">
        <v>54</v>
      </c>
    </row>
    <row r="23" spans="1:8">
      <c r="A23">
        <v>14956</v>
      </c>
      <c r="B23" t="s">
        <v>51</v>
      </c>
      <c r="C23" t="s">
        <v>55</v>
      </c>
      <c r="D23" t="str">
        <f t="shared" si="0"/>
        <v>laliga_bar</v>
      </c>
      <c r="E23" t="s">
        <v>56</v>
      </c>
      <c r="F23">
        <v>83</v>
      </c>
      <c r="G23" t="s">
        <v>57</v>
      </c>
      <c r="H23" t="s">
        <v>54</v>
      </c>
    </row>
    <row r="24" spans="1:8">
      <c r="A24">
        <v>14956</v>
      </c>
      <c r="B24" t="s">
        <v>51</v>
      </c>
      <c r="C24" t="s">
        <v>58</v>
      </c>
      <c r="D24" t="str">
        <f t="shared" si="0"/>
        <v>laliga_rma</v>
      </c>
      <c r="E24" t="s">
        <v>59</v>
      </c>
      <c r="F24">
        <v>84</v>
      </c>
      <c r="G24" t="s">
        <v>59</v>
      </c>
      <c r="H24" t="s">
        <v>54</v>
      </c>
    </row>
    <row r="25" spans="1:8">
      <c r="A25">
        <v>14956</v>
      </c>
      <c r="B25" t="s">
        <v>51</v>
      </c>
      <c r="C25" t="s">
        <v>60</v>
      </c>
      <c r="D25" t="str">
        <f t="shared" si="0"/>
        <v>laliga_sev</v>
      </c>
      <c r="E25" t="s">
        <v>61</v>
      </c>
      <c r="F25">
        <v>98</v>
      </c>
      <c r="G25" t="s">
        <v>62</v>
      </c>
      <c r="H25" t="s">
        <v>54</v>
      </c>
    </row>
    <row r="26" spans="1:8">
      <c r="A26">
        <v>14956</v>
      </c>
      <c r="B26" t="s">
        <v>51</v>
      </c>
      <c r="C26" t="s">
        <v>63</v>
      </c>
      <c r="D26" t="str">
        <f t="shared" si="0"/>
        <v>laliga_atm</v>
      </c>
      <c r="E26" t="s">
        <v>64</v>
      </c>
      <c r="F26">
        <v>117</v>
      </c>
      <c r="G26" t="s">
        <v>64</v>
      </c>
      <c r="H26" t="s">
        <v>54</v>
      </c>
    </row>
    <row r="27" spans="1:8">
      <c r="A27">
        <v>14956</v>
      </c>
      <c r="B27" t="s">
        <v>51</v>
      </c>
      <c r="C27" t="s">
        <v>65</v>
      </c>
      <c r="D27" t="str">
        <f t="shared" si="0"/>
        <v>laliga_ala</v>
      </c>
      <c r="E27" t="s">
        <v>66</v>
      </c>
      <c r="F27">
        <v>277</v>
      </c>
      <c r="G27" t="s">
        <v>67</v>
      </c>
      <c r="H27" t="s">
        <v>54</v>
      </c>
    </row>
    <row r="28" spans="1:8">
      <c r="A28">
        <v>14956</v>
      </c>
      <c r="B28" t="s">
        <v>51</v>
      </c>
      <c r="C28" t="s">
        <v>68</v>
      </c>
      <c r="D28" t="str">
        <f t="shared" si="0"/>
        <v>laliga_esp</v>
      </c>
      <c r="E28" t="s">
        <v>69</v>
      </c>
      <c r="F28">
        <v>280</v>
      </c>
      <c r="G28" t="s">
        <v>70</v>
      </c>
      <c r="H28" t="s">
        <v>54</v>
      </c>
    </row>
    <row r="29" spans="1:8">
      <c r="A29">
        <v>14956</v>
      </c>
      <c r="B29" t="s">
        <v>51</v>
      </c>
      <c r="C29" t="s">
        <v>71</v>
      </c>
      <c r="D29" t="str">
        <f t="shared" si="0"/>
        <v>laliga_cel</v>
      </c>
      <c r="E29" t="s">
        <v>72</v>
      </c>
      <c r="F29">
        <v>281</v>
      </c>
      <c r="G29" t="s">
        <v>73</v>
      </c>
      <c r="H29" t="s">
        <v>54</v>
      </c>
    </row>
    <row r="30" spans="1:8">
      <c r="A30">
        <v>14956</v>
      </c>
      <c r="B30" t="s">
        <v>51</v>
      </c>
      <c r="C30" t="s">
        <v>74</v>
      </c>
      <c r="D30" t="str">
        <f t="shared" si="0"/>
        <v>laliga_bet</v>
      </c>
      <c r="E30" t="s">
        <v>75</v>
      </c>
      <c r="F30">
        <v>284</v>
      </c>
      <c r="G30" t="s">
        <v>75</v>
      </c>
      <c r="H30" t="s">
        <v>54</v>
      </c>
    </row>
    <row r="31" spans="1:8">
      <c r="A31">
        <v>14956</v>
      </c>
      <c r="B31" t="s">
        <v>51</v>
      </c>
      <c r="C31" t="s">
        <v>76</v>
      </c>
      <c r="D31" t="str">
        <f t="shared" si="0"/>
        <v>laliga_ath</v>
      </c>
      <c r="E31" t="s">
        <v>77</v>
      </c>
      <c r="F31">
        <v>285</v>
      </c>
      <c r="G31" t="s">
        <v>78</v>
      </c>
      <c r="H31" t="s">
        <v>54</v>
      </c>
    </row>
    <row r="32" spans="1:8">
      <c r="A32">
        <v>14956</v>
      </c>
      <c r="B32" t="s">
        <v>51</v>
      </c>
      <c r="C32" t="s">
        <v>79</v>
      </c>
      <c r="D32" t="str">
        <f t="shared" si="0"/>
        <v>laliga_osa</v>
      </c>
      <c r="E32" t="s">
        <v>80</v>
      </c>
      <c r="F32">
        <v>287</v>
      </c>
      <c r="G32" t="s">
        <v>81</v>
      </c>
      <c r="H32" t="s">
        <v>54</v>
      </c>
    </row>
    <row r="33" spans="1:8">
      <c r="A33">
        <v>14956</v>
      </c>
      <c r="B33" t="s">
        <v>51</v>
      </c>
      <c r="C33" t="s">
        <v>82</v>
      </c>
      <c r="D33" t="str">
        <f t="shared" si="0"/>
        <v>laliga_val</v>
      </c>
      <c r="E33" t="s">
        <v>83</v>
      </c>
      <c r="F33">
        <v>288</v>
      </c>
      <c r="G33" t="s">
        <v>84</v>
      </c>
      <c r="H33" t="s">
        <v>54</v>
      </c>
    </row>
    <row r="34" spans="1:8">
      <c r="A34">
        <v>14956</v>
      </c>
      <c r="B34" t="s">
        <v>51</v>
      </c>
      <c r="C34" t="s">
        <v>85</v>
      </c>
      <c r="D34" t="str">
        <f t="shared" si="0"/>
        <v>laliga_rso</v>
      </c>
      <c r="E34" t="s">
        <v>86</v>
      </c>
      <c r="F34">
        <v>290</v>
      </c>
      <c r="G34" t="s">
        <v>86</v>
      </c>
      <c r="H34" t="s">
        <v>54</v>
      </c>
    </row>
    <row r="35" spans="1:8">
      <c r="A35">
        <v>14956</v>
      </c>
      <c r="B35" t="s">
        <v>51</v>
      </c>
      <c r="C35" t="s">
        <v>87</v>
      </c>
      <c r="D35" t="str">
        <f t="shared" si="0"/>
        <v>laliga_ray</v>
      </c>
      <c r="E35" t="s">
        <v>88</v>
      </c>
      <c r="F35">
        <v>291</v>
      </c>
      <c r="G35" t="s">
        <v>88</v>
      </c>
      <c r="H35" t="s">
        <v>54</v>
      </c>
    </row>
    <row r="36" spans="1:8">
      <c r="A36">
        <v>14956</v>
      </c>
      <c r="B36" t="s">
        <v>51</v>
      </c>
      <c r="C36" t="s">
        <v>89</v>
      </c>
      <c r="D36" t="str">
        <f t="shared" si="0"/>
        <v>laliga_lev</v>
      </c>
      <c r="E36" t="s">
        <v>90</v>
      </c>
      <c r="F36">
        <v>292</v>
      </c>
      <c r="G36" t="s">
        <v>91</v>
      </c>
      <c r="H36" t="s">
        <v>54</v>
      </c>
    </row>
    <row r="37" spans="1:8">
      <c r="A37">
        <v>14956</v>
      </c>
      <c r="B37" t="s">
        <v>51</v>
      </c>
      <c r="C37" t="s">
        <v>92</v>
      </c>
      <c r="D37" t="str">
        <f t="shared" si="0"/>
        <v>laliga_get</v>
      </c>
      <c r="E37" t="s">
        <v>93</v>
      </c>
      <c r="F37">
        <v>293</v>
      </c>
      <c r="G37" t="s">
        <v>94</v>
      </c>
      <c r="H37" t="s">
        <v>54</v>
      </c>
    </row>
    <row r="38" spans="1:8">
      <c r="A38">
        <v>14956</v>
      </c>
      <c r="B38" t="s">
        <v>51</v>
      </c>
      <c r="C38" t="s">
        <v>95</v>
      </c>
      <c r="D38" t="str">
        <f t="shared" si="0"/>
        <v>laliga_elc</v>
      </c>
      <c r="E38" t="s">
        <v>96</v>
      </c>
      <c r="F38">
        <v>295</v>
      </c>
      <c r="G38" t="s">
        <v>97</v>
      </c>
      <c r="H38" t="s">
        <v>54</v>
      </c>
    </row>
    <row r="39" spans="1:8">
      <c r="A39">
        <v>14956</v>
      </c>
      <c r="B39" t="s">
        <v>51</v>
      </c>
      <c r="C39" t="s">
        <v>98</v>
      </c>
      <c r="D39" t="str">
        <f t="shared" si="0"/>
        <v>laliga_mll</v>
      </c>
      <c r="E39" t="s">
        <v>99</v>
      </c>
      <c r="F39">
        <v>298</v>
      </c>
      <c r="G39" t="s">
        <v>100</v>
      </c>
      <c r="H39" t="s">
        <v>54</v>
      </c>
    </row>
    <row r="40" spans="1:8">
      <c r="A40">
        <v>14956</v>
      </c>
      <c r="B40" t="s">
        <v>51</v>
      </c>
      <c r="C40" t="s">
        <v>101</v>
      </c>
      <c r="D40" t="str">
        <f t="shared" si="0"/>
        <v>laliga_ovi</v>
      </c>
      <c r="E40" t="s">
        <v>102</v>
      </c>
      <c r="F40">
        <v>309</v>
      </c>
      <c r="G40" t="s">
        <v>102</v>
      </c>
      <c r="H40" t="s">
        <v>54</v>
      </c>
    </row>
    <row r="41" spans="1:8">
      <c r="A41">
        <v>14956</v>
      </c>
      <c r="B41" t="s">
        <v>51</v>
      </c>
      <c r="C41" t="s">
        <v>103</v>
      </c>
      <c r="D41" t="str">
        <f t="shared" si="0"/>
        <v>laliga_gir</v>
      </c>
      <c r="E41" t="s">
        <v>104</v>
      </c>
      <c r="F41">
        <v>312</v>
      </c>
      <c r="G41" t="s">
        <v>105</v>
      </c>
      <c r="H41" t="s">
        <v>54</v>
      </c>
    </row>
    <row r="42" spans="1:8">
      <c r="A42">
        <v>15068</v>
      </c>
      <c r="B42" t="s">
        <v>106</v>
      </c>
      <c r="C42" t="s">
        <v>107</v>
      </c>
      <c r="D42" t="str">
        <f t="shared" si="0"/>
        <v>seriea_nap</v>
      </c>
      <c r="E42" t="s">
        <v>108</v>
      </c>
      <c r="F42">
        <v>74</v>
      </c>
      <c r="G42" t="s">
        <v>108</v>
      </c>
      <c r="H42" t="s">
        <v>109</v>
      </c>
    </row>
    <row r="43" spans="1:8">
      <c r="A43">
        <v>15068</v>
      </c>
      <c r="B43" t="s">
        <v>106</v>
      </c>
      <c r="C43" t="s">
        <v>110</v>
      </c>
      <c r="D43" t="str">
        <f t="shared" si="0"/>
        <v>seriea_juv</v>
      </c>
      <c r="E43" t="s">
        <v>111</v>
      </c>
      <c r="F43">
        <v>90</v>
      </c>
      <c r="G43" t="s">
        <v>111</v>
      </c>
      <c r="H43" t="s">
        <v>109</v>
      </c>
    </row>
    <row r="44" spans="1:8">
      <c r="A44">
        <v>15068</v>
      </c>
      <c r="B44" t="s">
        <v>106</v>
      </c>
      <c r="C44" t="s">
        <v>112</v>
      </c>
      <c r="D44" t="str">
        <f t="shared" si="0"/>
        <v>seriea_roma</v>
      </c>
      <c r="E44" t="s">
        <v>113</v>
      </c>
      <c r="F44">
        <v>113</v>
      </c>
      <c r="G44" t="s">
        <v>113</v>
      </c>
      <c r="H44" t="s">
        <v>109</v>
      </c>
    </row>
    <row r="45" spans="1:8">
      <c r="A45">
        <v>15068</v>
      </c>
      <c r="B45" t="s">
        <v>106</v>
      </c>
      <c r="C45" t="s">
        <v>114</v>
      </c>
      <c r="D45" t="str">
        <f t="shared" si="0"/>
        <v>seriea_cag</v>
      </c>
      <c r="E45" t="s">
        <v>115</v>
      </c>
      <c r="F45">
        <v>455</v>
      </c>
      <c r="G45" t="s">
        <v>115</v>
      </c>
      <c r="H45" t="s">
        <v>109</v>
      </c>
    </row>
    <row r="46" spans="1:8">
      <c r="A46">
        <v>15068</v>
      </c>
      <c r="B46" t="s">
        <v>106</v>
      </c>
      <c r="C46" t="s">
        <v>116</v>
      </c>
      <c r="D46" t="str">
        <f t="shared" si="0"/>
        <v>seriea_tor</v>
      </c>
      <c r="E46" t="s">
        <v>117</v>
      </c>
      <c r="F46">
        <v>456</v>
      </c>
      <c r="G46" t="s">
        <v>117</v>
      </c>
      <c r="H46" t="s">
        <v>109</v>
      </c>
    </row>
    <row r="47" spans="1:8">
      <c r="A47">
        <v>15068</v>
      </c>
      <c r="B47" t="s">
        <v>106</v>
      </c>
      <c r="C47" t="s">
        <v>118</v>
      </c>
      <c r="D47" t="str">
        <f t="shared" si="0"/>
        <v>seriea_gen</v>
      </c>
      <c r="E47" t="s">
        <v>119</v>
      </c>
      <c r="F47">
        <v>460</v>
      </c>
      <c r="G47" t="s">
        <v>119</v>
      </c>
      <c r="H47" t="s">
        <v>109</v>
      </c>
    </row>
    <row r="48" spans="1:8">
      <c r="A48">
        <v>15068</v>
      </c>
      <c r="B48" t="s">
        <v>106</v>
      </c>
      <c r="C48" t="s">
        <v>120</v>
      </c>
      <c r="D48" t="str">
        <f t="shared" si="0"/>
        <v>seriea_mil</v>
      </c>
      <c r="E48" t="s">
        <v>121</v>
      </c>
      <c r="F48">
        <v>461</v>
      </c>
      <c r="G48" t="s">
        <v>121</v>
      </c>
      <c r="H48" t="s">
        <v>109</v>
      </c>
    </row>
    <row r="49" spans="1:8">
      <c r="A49">
        <v>15068</v>
      </c>
      <c r="B49" t="s">
        <v>106</v>
      </c>
      <c r="C49" t="s">
        <v>122</v>
      </c>
      <c r="D49" t="str">
        <f t="shared" si="0"/>
        <v>seriea_laz</v>
      </c>
      <c r="E49" t="s">
        <v>123</v>
      </c>
      <c r="F49">
        <v>463</v>
      </c>
      <c r="G49" t="s">
        <v>123</v>
      </c>
      <c r="H49" t="s">
        <v>109</v>
      </c>
    </row>
    <row r="50" spans="1:8">
      <c r="A50">
        <v>15068</v>
      </c>
      <c r="B50" t="s">
        <v>106</v>
      </c>
      <c r="C50" t="s">
        <v>124</v>
      </c>
      <c r="D50" t="str">
        <f t="shared" si="0"/>
        <v>seriea_bol</v>
      </c>
      <c r="E50" t="s">
        <v>125</v>
      </c>
      <c r="F50">
        <v>467</v>
      </c>
      <c r="G50" t="s">
        <v>125</v>
      </c>
      <c r="H50" t="s">
        <v>109</v>
      </c>
    </row>
    <row r="51" spans="1:8">
      <c r="A51">
        <v>15068</v>
      </c>
      <c r="B51" t="s">
        <v>106</v>
      </c>
      <c r="C51" t="s">
        <v>126</v>
      </c>
      <c r="D51" t="str">
        <f t="shared" si="0"/>
        <v>seriea_sas</v>
      </c>
      <c r="E51" t="s">
        <v>127</v>
      </c>
      <c r="F51">
        <v>469</v>
      </c>
      <c r="G51" t="s">
        <v>127</v>
      </c>
      <c r="H51" t="s">
        <v>109</v>
      </c>
    </row>
    <row r="52" spans="1:8">
      <c r="A52">
        <v>15068</v>
      </c>
      <c r="B52" t="s">
        <v>106</v>
      </c>
      <c r="C52" t="s">
        <v>120</v>
      </c>
      <c r="D52" t="str">
        <f t="shared" si="0"/>
        <v>seriea_mil</v>
      </c>
      <c r="E52" t="s">
        <v>121</v>
      </c>
      <c r="F52">
        <v>470</v>
      </c>
      <c r="G52" t="s">
        <v>128</v>
      </c>
      <c r="H52" t="s">
        <v>109</v>
      </c>
    </row>
    <row r="53" spans="1:8">
      <c r="A53">
        <v>15068</v>
      </c>
      <c r="B53" t="s">
        <v>106</v>
      </c>
      <c r="C53" t="s">
        <v>129</v>
      </c>
      <c r="D53" t="str">
        <f t="shared" si="0"/>
        <v>seriea_fio</v>
      </c>
      <c r="E53" t="s">
        <v>130</v>
      </c>
      <c r="F53">
        <v>471</v>
      </c>
      <c r="G53" t="s">
        <v>130</v>
      </c>
      <c r="H53" t="s">
        <v>109</v>
      </c>
    </row>
    <row r="54" spans="1:8">
      <c r="A54">
        <v>15068</v>
      </c>
      <c r="B54" t="s">
        <v>106</v>
      </c>
      <c r="C54" t="s">
        <v>131</v>
      </c>
      <c r="D54" t="str">
        <f t="shared" si="0"/>
        <v>seriea_par</v>
      </c>
      <c r="E54" t="s">
        <v>132</v>
      </c>
      <c r="F54">
        <v>476</v>
      </c>
      <c r="G54" t="s">
        <v>132</v>
      </c>
      <c r="H54" t="s">
        <v>109</v>
      </c>
    </row>
    <row r="55" spans="1:8">
      <c r="A55">
        <v>15068</v>
      </c>
      <c r="B55" t="s">
        <v>106</v>
      </c>
      <c r="C55" t="s">
        <v>133</v>
      </c>
      <c r="D55" t="str">
        <f t="shared" si="0"/>
        <v>seriea_pis</v>
      </c>
      <c r="E55" t="s">
        <v>134</v>
      </c>
      <c r="F55">
        <v>507</v>
      </c>
      <c r="G55" t="s">
        <v>134</v>
      </c>
      <c r="H55" t="s">
        <v>109</v>
      </c>
    </row>
    <row r="56" spans="1:8">
      <c r="A56">
        <v>15068</v>
      </c>
      <c r="B56" t="s">
        <v>106</v>
      </c>
      <c r="C56" t="s">
        <v>135</v>
      </c>
      <c r="D56" t="str">
        <f t="shared" si="0"/>
        <v>seriea_cre</v>
      </c>
      <c r="E56" t="s">
        <v>136</v>
      </c>
      <c r="F56">
        <v>1046</v>
      </c>
      <c r="G56" t="s">
        <v>136</v>
      </c>
      <c r="H56" t="s">
        <v>109</v>
      </c>
    </row>
    <row r="57" spans="1:8">
      <c r="A57">
        <v>15068</v>
      </c>
      <c r="B57" t="s">
        <v>106</v>
      </c>
      <c r="C57" t="s">
        <v>137</v>
      </c>
      <c r="D57" t="str">
        <f t="shared" si="0"/>
        <v>seriea_ata</v>
      </c>
      <c r="E57" t="s">
        <v>138</v>
      </c>
      <c r="F57">
        <v>464</v>
      </c>
      <c r="G57" t="s">
        <v>138</v>
      </c>
      <c r="H57" t="s">
        <v>109</v>
      </c>
    </row>
    <row r="58" spans="1:8">
      <c r="A58">
        <v>15068</v>
      </c>
      <c r="B58" t="s">
        <v>106</v>
      </c>
      <c r="C58" t="s">
        <v>139</v>
      </c>
      <c r="D58" t="str">
        <f t="shared" si="0"/>
        <v>seriea_udi</v>
      </c>
      <c r="E58" t="s">
        <v>140</v>
      </c>
      <c r="F58">
        <v>466</v>
      </c>
      <c r="G58" t="s">
        <v>140</v>
      </c>
      <c r="H58" t="s">
        <v>109</v>
      </c>
    </row>
    <row r="59" spans="1:8">
      <c r="A59">
        <v>15068</v>
      </c>
      <c r="B59" t="s">
        <v>106</v>
      </c>
      <c r="C59" t="s">
        <v>141</v>
      </c>
      <c r="D59" t="str">
        <f t="shared" si="0"/>
        <v>seriea_ver</v>
      </c>
      <c r="E59" t="s">
        <v>142</v>
      </c>
      <c r="F59">
        <v>473</v>
      </c>
      <c r="G59" t="s">
        <v>142</v>
      </c>
      <c r="H59" t="s">
        <v>109</v>
      </c>
    </row>
    <row r="60" spans="1:8">
      <c r="A60">
        <v>15068</v>
      </c>
      <c r="B60" t="s">
        <v>106</v>
      </c>
      <c r="C60" t="s">
        <v>143</v>
      </c>
      <c r="D60" t="str">
        <f t="shared" si="0"/>
        <v>seriea_como</v>
      </c>
      <c r="E60" t="s">
        <v>144</v>
      </c>
      <c r="F60">
        <v>518</v>
      </c>
      <c r="G60" t="s">
        <v>144</v>
      </c>
      <c r="H60" t="s">
        <v>109</v>
      </c>
    </row>
    <row r="61" spans="1:8">
      <c r="A61">
        <v>15068</v>
      </c>
      <c r="B61" t="s">
        <v>106</v>
      </c>
      <c r="C61" t="s">
        <v>145</v>
      </c>
      <c r="D61" t="str">
        <f t="shared" si="0"/>
        <v>seriea_lec</v>
      </c>
      <c r="E61" t="s">
        <v>146</v>
      </c>
      <c r="F61">
        <v>2330</v>
      </c>
      <c r="G61" t="s">
        <v>146</v>
      </c>
      <c r="H61" t="s">
        <v>109</v>
      </c>
    </row>
    <row r="62" spans="1:8">
      <c r="A62">
        <v>14968</v>
      </c>
      <c r="B62" t="s">
        <v>147</v>
      </c>
      <c r="C62" t="s">
        <v>148</v>
      </c>
      <c r="D62" t="str">
        <f t="shared" si="0"/>
        <v>bundesliga_dor</v>
      </c>
      <c r="E62" t="s">
        <v>149</v>
      </c>
      <c r="F62">
        <v>33</v>
      </c>
      <c r="G62" t="s">
        <v>149</v>
      </c>
      <c r="H62" t="s">
        <v>150</v>
      </c>
    </row>
    <row r="63" spans="1:8">
      <c r="A63">
        <v>14968</v>
      </c>
      <c r="B63" t="s">
        <v>147</v>
      </c>
      <c r="C63" t="s">
        <v>151</v>
      </c>
      <c r="D63" t="str">
        <f t="shared" si="0"/>
        <v>bundesliga_m05</v>
      </c>
      <c r="E63" t="s">
        <v>152</v>
      </c>
      <c r="F63">
        <v>34</v>
      </c>
      <c r="G63" t="s">
        <v>153</v>
      </c>
      <c r="H63" t="s">
        <v>150</v>
      </c>
    </row>
    <row r="64" spans="1:8">
      <c r="A64">
        <v>14968</v>
      </c>
      <c r="B64" t="s">
        <v>147</v>
      </c>
      <c r="C64" t="s">
        <v>154</v>
      </c>
      <c r="D64" t="str">
        <f t="shared" si="0"/>
        <v>bundesliga_hsv</v>
      </c>
      <c r="E64" t="s">
        <v>155</v>
      </c>
      <c r="F64">
        <v>36</v>
      </c>
      <c r="G64" t="s">
        <v>155</v>
      </c>
      <c r="H64" t="s">
        <v>150</v>
      </c>
    </row>
    <row r="65" spans="1:8">
      <c r="A65">
        <v>14968</v>
      </c>
      <c r="B65" t="s">
        <v>147</v>
      </c>
      <c r="C65" t="s">
        <v>156</v>
      </c>
      <c r="D65" t="str">
        <f t="shared" si="0"/>
        <v>bundesliga_svw</v>
      </c>
      <c r="E65" t="s">
        <v>157</v>
      </c>
      <c r="F65">
        <v>37</v>
      </c>
      <c r="G65" t="s">
        <v>157</v>
      </c>
      <c r="H65" t="s">
        <v>150</v>
      </c>
    </row>
    <row r="66" spans="1:8">
      <c r="A66">
        <v>14968</v>
      </c>
      <c r="B66" t="s">
        <v>147</v>
      </c>
      <c r="C66" t="s">
        <v>158</v>
      </c>
      <c r="D66" t="str">
        <f t="shared" si="0"/>
        <v>bundesliga_mun</v>
      </c>
      <c r="E66" t="s">
        <v>159</v>
      </c>
      <c r="F66">
        <v>38</v>
      </c>
      <c r="G66" t="s">
        <v>160</v>
      </c>
      <c r="H66" t="s">
        <v>150</v>
      </c>
    </row>
    <row r="67" spans="1:8">
      <c r="A67">
        <v>14968</v>
      </c>
      <c r="B67" t="s">
        <v>147</v>
      </c>
      <c r="C67" t="s">
        <v>161</v>
      </c>
      <c r="D67" t="str">
        <f t="shared" si="0"/>
        <v>bundesliga_bmg</v>
      </c>
      <c r="E67" t="s">
        <v>162</v>
      </c>
      <c r="F67">
        <v>39</v>
      </c>
      <c r="G67" t="s">
        <v>162</v>
      </c>
      <c r="H67" t="s">
        <v>150</v>
      </c>
    </row>
    <row r="68" spans="1:8">
      <c r="A68">
        <v>14968</v>
      </c>
      <c r="B68" t="s">
        <v>147</v>
      </c>
      <c r="C68" t="s">
        <v>163</v>
      </c>
      <c r="D68" t="str">
        <f t="shared" si="0"/>
        <v>bundesliga_b04</v>
      </c>
      <c r="E68" t="s">
        <v>164</v>
      </c>
      <c r="F68">
        <v>40</v>
      </c>
      <c r="G68" t="s">
        <v>164</v>
      </c>
      <c r="H68" t="s">
        <v>150</v>
      </c>
    </row>
    <row r="69" spans="1:8">
      <c r="A69">
        <v>14968</v>
      </c>
      <c r="B69" t="s">
        <v>147</v>
      </c>
      <c r="C69" t="s">
        <v>165</v>
      </c>
      <c r="D69" t="str">
        <f t="shared" ref="D69:D132" si="1">LOWER(B69) &amp; "_" &amp; LOWER(C69)</f>
        <v>bundesliga_koe</v>
      </c>
      <c r="E69" t="s">
        <v>166</v>
      </c>
      <c r="F69">
        <v>41</v>
      </c>
      <c r="G69" t="s">
        <v>167</v>
      </c>
      <c r="H69" t="s">
        <v>150</v>
      </c>
    </row>
    <row r="70" spans="1:8">
      <c r="A70">
        <v>14968</v>
      </c>
      <c r="B70" t="s">
        <v>147</v>
      </c>
      <c r="C70" t="s">
        <v>168</v>
      </c>
      <c r="D70" t="str">
        <f t="shared" si="1"/>
        <v>bundesliga_scf</v>
      </c>
      <c r="E70" t="s">
        <v>169</v>
      </c>
      <c r="F70">
        <v>42</v>
      </c>
      <c r="G70" t="s">
        <v>170</v>
      </c>
      <c r="H70" t="s">
        <v>150</v>
      </c>
    </row>
    <row r="71" spans="1:8">
      <c r="A71">
        <v>14968</v>
      </c>
      <c r="B71" t="s">
        <v>147</v>
      </c>
      <c r="C71" t="s">
        <v>171</v>
      </c>
      <c r="D71" t="str">
        <f t="shared" si="1"/>
        <v>bundesliga_wob</v>
      </c>
      <c r="E71" t="s">
        <v>172</v>
      </c>
      <c r="F71">
        <v>43</v>
      </c>
      <c r="G71" t="s">
        <v>173</v>
      </c>
      <c r="H71" t="s">
        <v>150</v>
      </c>
    </row>
    <row r="72" spans="1:8">
      <c r="A72">
        <v>14968</v>
      </c>
      <c r="B72" t="s">
        <v>147</v>
      </c>
      <c r="C72" t="s">
        <v>174</v>
      </c>
      <c r="D72" t="str">
        <f t="shared" si="1"/>
        <v>bundesliga_sge</v>
      </c>
      <c r="E72" t="s">
        <v>175</v>
      </c>
      <c r="F72">
        <v>44</v>
      </c>
      <c r="G72" t="s">
        <v>175</v>
      </c>
      <c r="H72" t="s">
        <v>150</v>
      </c>
    </row>
    <row r="73" spans="1:8">
      <c r="A73">
        <v>14968</v>
      </c>
      <c r="B73" t="s">
        <v>147</v>
      </c>
      <c r="C73" t="s">
        <v>176</v>
      </c>
      <c r="D73" t="str">
        <f t="shared" si="1"/>
        <v>bundesliga_rbl</v>
      </c>
      <c r="E73" t="s">
        <v>177</v>
      </c>
      <c r="F73">
        <v>46</v>
      </c>
      <c r="G73" t="s">
        <v>177</v>
      </c>
      <c r="H73" t="s">
        <v>150</v>
      </c>
    </row>
    <row r="74" spans="1:8">
      <c r="A74">
        <v>14968</v>
      </c>
      <c r="B74" t="s">
        <v>147</v>
      </c>
      <c r="C74" t="s">
        <v>178</v>
      </c>
      <c r="D74" t="str">
        <f t="shared" si="1"/>
        <v>bundesliga_tsg</v>
      </c>
      <c r="E74" t="s">
        <v>179</v>
      </c>
      <c r="F74">
        <v>49</v>
      </c>
      <c r="G74" t="s">
        <v>180</v>
      </c>
      <c r="H74" t="s">
        <v>150</v>
      </c>
    </row>
    <row r="75" spans="1:8">
      <c r="A75">
        <v>14968</v>
      </c>
      <c r="B75" t="s">
        <v>147</v>
      </c>
      <c r="C75" t="s">
        <v>181</v>
      </c>
      <c r="D75" t="str">
        <f t="shared" si="1"/>
        <v>bundesliga_fca</v>
      </c>
      <c r="E75" t="s">
        <v>182</v>
      </c>
      <c r="F75">
        <v>50</v>
      </c>
      <c r="G75" t="s">
        <v>183</v>
      </c>
      <c r="H75" t="s">
        <v>150</v>
      </c>
    </row>
    <row r="76" spans="1:8">
      <c r="A76">
        <v>14968</v>
      </c>
      <c r="B76" t="s">
        <v>147</v>
      </c>
      <c r="C76" t="s">
        <v>184</v>
      </c>
      <c r="D76" t="str">
        <f t="shared" si="1"/>
        <v>bundesliga_vfb</v>
      </c>
      <c r="E76" t="s">
        <v>185</v>
      </c>
      <c r="F76">
        <v>51</v>
      </c>
      <c r="G76" t="s">
        <v>186</v>
      </c>
      <c r="H76" t="s">
        <v>150</v>
      </c>
    </row>
    <row r="77" spans="1:8">
      <c r="A77">
        <v>14968</v>
      </c>
      <c r="B77" t="s">
        <v>147</v>
      </c>
      <c r="C77" t="s">
        <v>187</v>
      </c>
      <c r="D77" t="str">
        <f t="shared" si="1"/>
        <v>bundesliga_fcu</v>
      </c>
      <c r="E77" t="s">
        <v>188</v>
      </c>
      <c r="F77">
        <v>541</v>
      </c>
      <c r="G77" t="s">
        <v>189</v>
      </c>
      <c r="H77" t="s">
        <v>150</v>
      </c>
    </row>
    <row r="78" spans="1:8">
      <c r="A78">
        <v>14968</v>
      </c>
      <c r="B78" t="s">
        <v>147</v>
      </c>
      <c r="C78" t="s">
        <v>190</v>
      </c>
      <c r="D78" t="str">
        <f t="shared" si="1"/>
        <v>bundesliga_stp</v>
      </c>
      <c r="E78" t="s">
        <v>191</v>
      </c>
      <c r="F78">
        <v>548</v>
      </c>
      <c r="G78" t="s">
        <v>191</v>
      </c>
      <c r="H78" t="s">
        <v>150</v>
      </c>
    </row>
    <row r="79" spans="1:8">
      <c r="A79">
        <v>14968</v>
      </c>
      <c r="B79" t="s">
        <v>147</v>
      </c>
      <c r="C79" t="s">
        <v>192</v>
      </c>
      <c r="D79" t="str">
        <f t="shared" si="1"/>
        <v>bundesliga_hdh</v>
      </c>
      <c r="E79" t="s">
        <v>193</v>
      </c>
      <c r="F79">
        <v>552</v>
      </c>
      <c r="G79" t="s">
        <v>194</v>
      </c>
      <c r="H79" t="s">
        <v>150</v>
      </c>
    </row>
    <row r="80" spans="1:8">
      <c r="A80">
        <v>13973</v>
      </c>
      <c r="B80" t="s">
        <v>195</v>
      </c>
      <c r="C80" t="s">
        <v>196</v>
      </c>
      <c r="D80" t="str">
        <f t="shared" si="1"/>
        <v>mls_mtl</v>
      </c>
      <c r="E80" t="s">
        <v>197</v>
      </c>
      <c r="F80">
        <v>1</v>
      </c>
      <c r="G80" t="s">
        <v>198</v>
      </c>
      <c r="H80" t="s">
        <v>199</v>
      </c>
    </row>
    <row r="81" spans="1:8">
      <c r="A81">
        <v>13973</v>
      </c>
      <c r="B81" t="s">
        <v>195</v>
      </c>
      <c r="C81" t="s">
        <v>200</v>
      </c>
      <c r="D81" t="str">
        <f t="shared" si="1"/>
        <v>mls_nyc</v>
      </c>
      <c r="E81" t="s">
        <v>201</v>
      </c>
      <c r="F81">
        <v>2</v>
      </c>
      <c r="G81" t="s">
        <v>202</v>
      </c>
      <c r="H81" t="s">
        <v>199</v>
      </c>
    </row>
    <row r="82" spans="1:8">
      <c r="A82">
        <v>13973</v>
      </c>
      <c r="B82" t="s">
        <v>195</v>
      </c>
      <c r="C82" t="s">
        <v>203</v>
      </c>
      <c r="D82" t="str">
        <f t="shared" si="1"/>
        <v>mls_ny</v>
      </c>
      <c r="E82" t="s">
        <v>204</v>
      </c>
      <c r="F82">
        <v>4</v>
      </c>
      <c r="G82" t="s">
        <v>205</v>
      </c>
      <c r="H82" t="s">
        <v>199</v>
      </c>
    </row>
    <row r="83" spans="1:8">
      <c r="A83">
        <v>13973</v>
      </c>
      <c r="B83" t="s">
        <v>195</v>
      </c>
      <c r="C83" t="s">
        <v>206</v>
      </c>
      <c r="D83" t="str">
        <f t="shared" si="1"/>
        <v>mls_van</v>
      </c>
      <c r="E83" t="s">
        <v>207</v>
      </c>
      <c r="F83">
        <v>5</v>
      </c>
      <c r="G83" t="s">
        <v>207</v>
      </c>
      <c r="H83" t="s">
        <v>199</v>
      </c>
    </row>
    <row r="84" spans="1:8">
      <c r="A84">
        <v>13973</v>
      </c>
      <c r="B84" t="s">
        <v>195</v>
      </c>
      <c r="C84" t="s">
        <v>208</v>
      </c>
      <c r="D84" t="str">
        <f t="shared" si="1"/>
        <v>mls_hou</v>
      </c>
      <c r="E84" t="s">
        <v>209</v>
      </c>
      <c r="F84">
        <v>6</v>
      </c>
      <c r="G84" t="s">
        <v>210</v>
      </c>
      <c r="H84" t="s">
        <v>199</v>
      </c>
    </row>
    <row r="85" spans="1:8">
      <c r="A85">
        <v>13973</v>
      </c>
      <c r="B85" t="s">
        <v>195</v>
      </c>
      <c r="C85" t="s">
        <v>211</v>
      </c>
      <c r="D85" t="str">
        <f t="shared" si="1"/>
        <v>mls_chi</v>
      </c>
      <c r="E85" t="s">
        <v>212</v>
      </c>
      <c r="F85">
        <v>7</v>
      </c>
      <c r="G85" t="s">
        <v>213</v>
      </c>
      <c r="H85" t="s">
        <v>199</v>
      </c>
    </row>
    <row r="86" spans="1:8">
      <c r="A86">
        <v>13973</v>
      </c>
      <c r="B86" t="s">
        <v>195</v>
      </c>
      <c r="C86" t="s">
        <v>214</v>
      </c>
      <c r="D86" t="str">
        <f t="shared" si="1"/>
        <v>mls_skc</v>
      </c>
      <c r="E86" t="s">
        <v>215</v>
      </c>
      <c r="F86">
        <v>8</v>
      </c>
      <c r="G86" t="s">
        <v>216</v>
      </c>
      <c r="H86" t="s">
        <v>199</v>
      </c>
    </row>
    <row r="87" spans="1:8">
      <c r="A87">
        <v>13973</v>
      </c>
      <c r="B87" t="s">
        <v>195</v>
      </c>
      <c r="C87" t="s">
        <v>217</v>
      </c>
      <c r="D87" t="str">
        <f t="shared" si="1"/>
        <v>mls_clb</v>
      </c>
      <c r="E87" t="s">
        <v>218</v>
      </c>
      <c r="F87">
        <v>9</v>
      </c>
      <c r="G87" t="s">
        <v>218</v>
      </c>
      <c r="H87" t="s">
        <v>199</v>
      </c>
    </row>
    <row r="88" spans="1:8">
      <c r="A88">
        <v>13973</v>
      </c>
      <c r="B88" t="s">
        <v>195</v>
      </c>
      <c r="C88" t="s">
        <v>219</v>
      </c>
      <c r="D88" t="str">
        <f t="shared" si="1"/>
        <v>mls_la</v>
      </c>
      <c r="E88" t="s">
        <v>220</v>
      </c>
      <c r="F88">
        <v>10</v>
      </c>
      <c r="G88" t="s">
        <v>220</v>
      </c>
      <c r="H88" t="s">
        <v>199</v>
      </c>
    </row>
    <row r="89" spans="1:8">
      <c r="A89">
        <v>13973</v>
      </c>
      <c r="B89" t="s">
        <v>195</v>
      </c>
      <c r="C89" t="s">
        <v>221</v>
      </c>
      <c r="D89" t="str">
        <f t="shared" si="1"/>
        <v>mls_ne</v>
      </c>
      <c r="E89" t="s">
        <v>222</v>
      </c>
      <c r="F89">
        <v>11</v>
      </c>
      <c r="G89" t="s">
        <v>222</v>
      </c>
      <c r="H89" t="s">
        <v>199</v>
      </c>
    </row>
    <row r="90" spans="1:8">
      <c r="A90">
        <v>13973</v>
      </c>
      <c r="B90" t="s">
        <v>195</v>
      </c>
      <c r="C90" t="s">
        <v>223</v>
      </c>
      <c r="D90" t="str">
        <f t="shared" si="1"/>
        <v>mls_col</v>
      </c>
      <c r="E90" t="s">
        <v>224</v>
      </c>
      <c r="F90">
        <v>12</v>
      </c>
      <c r="G90" t="s">
        <v>224</v>
      </c>
      <c r="H90" t="s">
        <v>199</v>
      </c>
    </row>
    <row r="91" spans="1:8">
      <c r="A91">
        <v>13973</v>
      </c>
      <c r="B91" t="s">
        <v>195</v>
      </c>
      <c r="C91" t="s">
        <v>225</v>
      </c>
      <c r="D91" t="str">
        <f t="shared" si="1"/>
        <v>mls_dal</v>
      </c>
      <c r="E91" t="s">
        <v>226</v>
      </c>
      <c r="F91">
        <v>13</v>
      </c>
      <c r="G91" t="s">
        <v>226</v>
      </c>
      <c r="H91" t="s">
        <v>199</v>
      </c>
    </row>
    <row r="92" spans="1:8">
      <c r="A92">
        <v>13973</v>
      </c>
      <c r="B92" t="s">
        <v>195</v>
      </c>
      <c r="C92" t="s">
        <v>227</v>
      </c>
      <c r="D92" t="str">
        <f t="shared" si="1"/>
        <v>mls_rsl</v>
      </c>
      <c r="E92" t="s">
        <v>228</v>
      </c>
      <c r="F92">
        <v>14</v>
      </c>
      <c r="G92" t="s">
        <v>228</v>
      </c>
      <c r="H92" t="s">
        <v>199</v>
      </c>
    </row>
    <row r="93" spans="1:8">
      <c r="A93">
        <v>13973</v>
      </c>
      <c r="B93" t="s">
        <v>195</v>
      </c>
      <c r="C93" t="s">
        <v>229</v>
      </c>
      <c r="D93" t="str">
        <f t="shared" si="1"/>
        <v>mls_sj</v>
      </c>
      <c r="E93" t="s">
        <v>230</v>
      </c>
      <c r="F93">
        <v>15</v>
      </c>
      <c r="G93" t="s">
        <v>231</v>
      </c>
      <c r="H93" t="s">
        <v>199</v>
      </c>
    </row>
    <row r="94" spans="1:8">
      <c r="A94">
        <v>13973</v>
      </c>
      <c r="B94" t="s">
        <v>195</v>
      </c>
      <c r="C94" t="s">
        <v>232</v>
      </c>
      <c r="D94" t="str">
        <f t="shared" si="1"/>
        <v>mls_phi</v>
      </c>
      <c r="E94" t="s">
        <v>233</v>
      </c>
      <c r="F94">
        <v>16</v>
      </c>
      <c r="G94" t="s">
        <v>233</v>
      </c>
      <c r="H94" t="s">
        <v>199</v>
      </c>
    </row>
    <row r="95" spans="1:8">
      <c r="A95">
        <v>13973</v>
      </c>
      <c r="B95" t="s">
        <v>195</v>
      </c>
      <c r="C95" t="s">
        <v>234</v>
      </c>
      <c r="D95" t="str">
        <f t="shared" si="1"/>
        <v>mls_orl</v>
      </c>
      <c r="E95" t="s">
        <v>235</v>
      </c>
      <c r="F95">
        <v>17</v>
      </c>
      <c r="G95" t="s">
        <v>236</v>
      </c>
      <c r="H95" t="s">
        <v>199</v>
      </c>
    </row>
    <row r="96" spans="1:8">
      <c r="A96">
        <v>13973</v>
      </c>
      <c r="B96" t="s">
        <v>195</v>
      </c>
      <c r="C96" t="s">
        <v>237</v>
      </c>
      <c r="D96" t="str">
        <f t="shared" si="1"/>
        <v>mls_sea</v>
      </c>
      <c r="E96" t="s">
        <v>238</v>
      </c>
      <c r="F96">
        <v>18</v>
      </c>
      <c r="G96" t="s">
        <v>239</v>
      </c>
      <c r="H96" t="s">
        <v>199</v>
      </c>
    </row>
    <row r="97" spans="1:8">
      <c r="A97">
        <v>13973</v>
      </c>
      <c r="B97" t="s">
        <v>195</v>
      </c>
      <c r="C97" t="s">
        <v>116</v>
      </c>
      <c r="D97" t="str">
        <f t="shared" si="1"/>
        <v>mls_tor</v>
      </c>
      <c r="E97" t="s">
        <v>240</v>
      </c>
      <c r="F97">
        <v>19</v>
      </c>
      <c r="G97" t="s">
        <v>241</v>
      </c>
      <c r="H97" t="s">
        <v>199</v>
      </c>
    </row>
    <row r="98" spans="1:8">
      <c r="A98">
        <v>13973</v>
      </c>
      <c r="B98" t="s">
        <v>195</v>
      </c>
      <c r="C98" t="s">
        <v>242</v>
      </c>
      <c r="D98" t="str">
        <f t="shared" si="1"/>
        <v>mls_por</v>
      </c>
      <c r="E98" t="s">
        <v>243</v>
      </c>
      <c r="F98">
        <v>20</v>
      </c>
      <c r="G98" t="s">
        <v>243</v>
      </c>
      <c r="H98" t="s">
        <v>199</v>
      </c>
    </row>
    <row r="99" spans="1:8">
      <c r="A99">
        <v>13973</v>
      </c>
      <c r="B99" t="s">
        <v>195</v>
      </c>
      <c r="C99" t="s">
        <v>244</v>
      </c>
      <c r="D99" t="str">
        <f t="shared" si="1"/>
        <v>mls_min</v>
      </c>
      <c r="E99" t="s">
        <v>245</v>
      </c>
      <c r="F99">
        <v>1015</v>
      </c>
      <c r="G99" t="s">
        <v>246</v>
      </c>
      <c r="H99" t="s">
        <v>199</v>
      </c>
    </row>
    <row r="100" spans="1:8">
      <c r="A100">
        <v>13973</v>
      </c>
      <c r="B100" t="s">
        <v>195</v>
      </c>
      <c r="C100" t="s">
        <v>247</v>
      </c>
      <c r="D100" t="str">
        <f t="shared" si="1"/>
        <v>mls_atl</v>
      </c>
      <c r="E100" t="s">
        <v>248</v>
      </c>
      <c r="F100">
        <v>1016</v>
      </c>
      <c r="G100" t="s">
        <v>248</v>
      </c>
      <c r="H100" t="s">
        <v>199</v>
      </c>
    </row>
    <row r="101" spans="1:8">
      <c r="A101">
        <v>13973</v>
      </c>
      <c r="B101" t="s">
        <v>195</v>
      </c>
      <c r="C101" t="s">
        <v>249</v>
      </c>
      <c r="D101" t="str">
        <f t="shared" si="1"/>
        <v>mls_lafc</v>
      </c>
      <c r="E101" t="s">
        <v>249</v>
      </c>
      <c r="F101">
        <v>6490</v>
      </c>
      <c r="G101" t="s">
        <v>250</v>
      </c>
      <c r="H101" t="s">
        <v>199</v>
      </c>
    </row>
    <row r="102" spans="1:8">
      <c r="A102">
        <v>13973</v>
      </c>
      <c r="B102" t="s">
        <v>195</v>
      </c>
      <c r="C102" t="s">
        <v>251</v>
      </c>
      <c r="D102" t="str">
        <f t="shared" si="1"/>
        <v>mls_cin</v>
      </c>
      <c r="E102" t="s">
        <v>252</v>
      </c>
      <c r="F102">
        <v>8043</v>
      </c>
      <c r="G102" t="s">
        <v>252</v>
      </c>
      <c r="H102" t="s">
        <v>199</v>
      </c>
    </row>
    <row r="103" spans="1:8">
      <c r="A103">
        <v>13973</v>
      </c>
      <c r="B103" t="s">
        <v>195</v>
      </c>
      <c r="C103" t="s">
        <v>253</v>
      </c>
      <c r="D103" t="str">
        <f t="shared" si="1"/>
        <v>mls_dc</v>
      </c>
      <c r="E103" t="s">
        <v>254</v>
      </c>
      <c r="F103">
        <v>13401</v>
      </c>
      <c r="G103" t="s">
        <v>255</v>
      </c>
      <c r="H103" t="s">
        <v>199</v>
      </c>
    </row>
    <row r="104" spans="1:8">
      <c r="A104">
        <v>13973</v>
      </c>
      <c r="B104" t="s">
        <v>195</v>
      </c>
      <c r="C104" t="s">
        <v>256</v>
      </c>
      <c r="D104" t="str">
        <f t="shared" si="1"/>
        <v>mls_mia</v>
      </c>
      <c r="E104" t="s">
        <v>257</v>
      </c>
      <c r="F104">
        <v>677446</v>
      </c>
      <c r="G104" t="s">
        <v>258</v>
      </c>
      <c r="H104" t="s">
        <v>199</v>
      </c>
    </row>
    <row r="105" spans="1:8">
      <c r="A105">
        <v>13973</v>
      </c>
      <c r="B105" t="s">
        <v>195</v>
      </c>
      <c r="C105" t="s">
        <v>259</v>
      </c>
      <c r="D105" t="str">
        <f t="shared" si="1"/>
        <v>mls_nsh</v>
      </c>
      <c r="E105" t="s">
        <v>260</v>
      </c>
      <c r="F105">
        <v>677447</v>
      </c>
      <c r="G105" t="s">
        <v>260</v>
      </c>
      <c r="H105" t="s">
        <v>199</v>
      </c>
    </row>
    <row r="106" spans="1:8">
      <c r="A106">
        <v>13973</v>
      </c>
      <c r="B106" t="s">
        <v>195</v>
      </c>
      <c r="C106" t="s">
        <v>261</v>
      </c>
      <c r="D106" t="str">
        <f t="shared" si="1"/>
        <v>mls_atx</v>
      </c>
      <c r="E106" t="s">
        <v>262</v>
      </c>
      <c r="F106">
        <v>698284</v>
      </c>
      <c r="G106" t="s">
        <v>263</v>
      </c>
      <c r="H106" t="s">
        <v>199</v>
      </c>
    </row>
    <row r="107" spans="1:8">
      <c r="A107">
        <v>13973</v>
      </c>
      <c r="B107" t="s">
        <v>195</v>
      </c>
      <c r="C107" t="s">
        <v>264</v>
      </c>
      <c r="D107" t="str">
        <f t="shared" si="1"/>
        <v>mls_clt</v>
      </c>
      <c r="E107" t="s">
        <v>265</v>
      </c>
      <c r="F107">
        <v>711351</v>
      </c>
      <c r="G107" t="s">
        <v>266</v>
      </c>
      <c r="H107" t="s">
        <v>199</v>
      </c>
    </row>
    <row r="108" spans="1:8">
      <c r="A108">
        <v>13973</v>
      </c>
      <c r="B108" t="s">
        <v>195</v>
      </c>
      <c r="C108" t="s">
        <v>267</v>
      </c>
      <c r="D108" t="str">
        <f t="shared" si="1"/>
        <v>mls_stl</v>
      </c>
      <c r="E108" t="s">
        <v>268</v>
      </c>
      <c r="F108">
        <v>945555</v>
      </c>
      <c r="G108" t="s">
        <v>269</v>
      </c>
      <c r="H108" t="s">
        <v>199</v>
      </c>
    </row>
    <row r="109" spans="1:8">
      <c r="A109">
        <v>13973</v>
      </c>
      <c r="B109" t="s">
        <v>195</v>
      </c>
      <c r="C109" t="s">
        <v>270</v>
      </c>
      <c r="D109" t="str">
        <f t="shared" si="1"/>
        <v>mls_sd</v>
      </c>
      <c r="E109" t="s">
        <v>271</v>
      </c>
      <c r="F109">
        <v>1398748</v>
      </c>
      <c r="G109" t="s">
        <v>272</v>
      </c>
      <c r="H109" t="s">
        <v>199</v>
      </c>
    </row>
    <row r="110" spans="1:8">
      <c r="A110">
        <v>14932</v>
      </c>
      <c r="B110" t="s">
        <v>273</v>
      </c>
      <c r="C110" t="s">
        <v>274</v>
      </c>
      <c r="D110" t="str">
        <f t="shared" si="1"/>
        <v>ligue1_mon</v>
      </c>
      <c r="E110" t="s">
        <v>275</v>
      </c>
      <c r="F110">
        <v>56</v>
      </c>
      <c r="G110" t="s">
        <v>276</v>
      </c>
      <c r="H110" t="s">
        <v>277</v>
      </c>
    </row>
    <row r="111" spans="1:8">
      <c r="A111">
        <v>14932</v>
      </c>
      <c r="B111" t="s">
        <v>273</v>
      </c>
      <c r="C111" t="s">
        <v>278</v>
      </c>
      <c r="D111" t="str">
        <f t="shared" si="1"/>
        <v>ligue1_lyon</v>
      </c>
      <c r="E111" t="s">
        <v>279</v>
      </c>
      <c r="F111">
        <v>57</v>
      </c>
      <c r="G111" t="s">
        <v>280</v>
      </c>
      <c r="H111" t="s">
        <v>277</v>
      </c>
    </row>
    <row r="112" spans="1:8">
      <c r="A112">
        <v>14932</v>
      </c>
      <c r="B112" t="s">
        <v>273</v>
      </c>
      <c r="C112" t="s">
        <v>282</v>
      </c>
      <c r="D112" t="str">
        <f t="shared" si="1"/>
        <v>ligue1_psg</v>
      </c>
      <c r="E112" t="s">
        <v>283</v>
      </c>
      <c r="F112">
        <v>68</v>
      </c>
      <c r="G112" t="s">
        <v>282</v>
      </c>
      <c r="H112" t="s">
        <v>277</v>
      </c>
    </row>
    <row r="113" spans="1:8">
      <c r="A113">
        <v>14932</v>
      </c>
      <c r="B113" t="s">
        <v>273</v>
      </c>
      <c r="C113" t="s">
        <v>285</v>
      </c>
      <c r="D113" t="str">
        <f t="shared" si="1"/>
        <v>ligue1_metz</v>
      </c>
      <c r="E113" t="s">
        <v>286</v>
      </c>
      <c r="F113">
        <v>438</v>
      </c>
      <c r="G113" t="s">
        <v>286</v>
      </c>
      <c r="H113" t="s">
        <v>277</v>
      </c>
    </row>
    <row r="114" spans="1:8">
      <c r="A114">
        <v>14932</v>
      </c>
      <c r="B114" t="s">
        <v>273</v>
      </c>
      <c r="C114" t="s">
        <v>288</v>
      </c>
      <c r="D114" t="str">
        <f t="shared" si="1"/>
        <v>ligue1_tou</v>
      </c>
      <c r="E114" t="s">
        <v>289</v>
      </c>
      <c r="F114">
        <v>439</v>
      </c>
      <c r="G114" t="s">
        <v>289</v>
      </c>
      <c r="H114" t="s">
        <v>277</v>
      </c>
    </row>
    <row r="115" spans="1:8">
      <c r="A115">
        <v>14932</v>
      </c>
      <c r="B115" t="s">
        <v>273</v>
      </c>
      <c r="C115" t="s">
        <v>291</v>
      </c>
      <c r="D115" t="str">
        <f t="shared" si="1"/>
        <v>ligue1_nan</v>
      </c>
      <c r="E115" t="s">
        <v>292</v>
      </c>
      <c r="F115">
        <v>440</v>
      </c>
      <c r="G115" t="s">
        <v>292</v>
      </c>
      <c r="H115" t="s">
        <v>277</v>
      </c>
    </row>
    <row r="116" spans="1:8">
      <c r="A116">
        <v>14932</v>
      </c>
      <c r="B116" t="s">
        <v>273</v>
      </c>
      <c r="C116" t="s">
        <v>294</v>
      </c>
      <c r="D116" t="str">
        <f t="shared" si="1"/>
        <v>ligue1_lill</v>
      </c>
      <c r="E116" t="s">
        <v>295</v>
      </c>
      <c r="F116">
        <v>441</v>
      </c>
      <c r="G116" t="s">
        <v>295</v>
      </c>
      <c r="H116" t="s">
        <v>277</v>
      </c>
    </row>
    <row r="117" spans="1:8">
      <c r="A117">
        <v>14932</v>
      </c>
      <c r="B117" t="s">
        <v>273</v>
      </c>
      <c r="C117" t="s">
        <v>297</v>
      </c>
      <c r="D117" t="str">
        <f t="shared" si="1"/>
        <v>ligue1_ren</v>
      </c>
      <c r="E117" t="s">
        <v>298</v>
      </c>
      <c r="F117">
        <v>442</v>
      </c>
      <c r="G117" t="s">
        <v>299</v>
      </c>
      <c r="H117" t="s">
        <v>277</v>
      </c>
    </row>
    <row r="118" spans="1:8">
      <c r="A118">
        <v>14932</v>
      </c>
      <c r="B118" t="s">
        <v>273</v>
      </c>
      <c r="C118" t="s">
        <v>301</v>
      </c>
      <c r="D118" t="str">
        <f t="shared" si="1"/>
        <v>ligue1_olm</v>
      </c>
      <c r="E118" t="s">
        <v>302</v>
      </c>
      <c r="F118">
        <v>443</v>
      </c>
      <c r="G118" t="s">
        <v>303</v>
      </c>
      <c r="H118" t="s">
        <v>277</v>
      </c>
    </row>
    <row r="119" spans="1:8">
      <c r="A119">
        <v>14932</v>
      </c>
      <c r="B119" t="s">
        <v>273</v>
      </c>
      <c r="C119" t="s">
        <v>305</v>
      </c>
      <c r="D119" t="str">
        <f t="shared" si="1"/>
        <v>ligue1_ang</v>
      </c>
      <c r="E119" t="s">
        <v>306</v>
      </c>
      <c r="F119">
        <v>444</v>
      </c>
      <c r="G119" t="s">
        <v>307</v>
      </c>
      <c r="H119" t="s">
        <v>277</v>
      </c>
    </row>
    <row r="120" spans="1:8">
      <c r="A120">
        <v>14932</v>
      </c>
      <c r="B120" t="s">
        <v>273</v>
      </c>
      <c r="C120" t="s">
        <v>309</v>
      </c>
      <c r="D120" t="str">
        <f t="shared" si="1"/>
        <v>ligue1_nice</v>
      </c>
      <c r="E120" t="s">
        <v>310</v>
      </c>
      <c r="F120">
        <v>445</v>
      </c>
      <c r="G120" t="s">
        <v>310</v>
      </c>
      <c r="H120" t="s">
        <v>277</v>
      </c>
    </row>
    <row r="121" spans="1:8">
      <c r="A121">
        <v>14932</v>
      </c>
      <c r="B121" t="s">
        <v>273</v>
      </c>
      <c r="C121" t="s">
        <v>312</v>
      </c>
      <c r="D121" t="str">
        <f t="shared" si="1"/>
        <v>ligue1_lor</v>
      </c>
      <c r="E121" t="s">
        <v>313</v>
      </c>
      <c r="F121">
        <v>448</v>
      </c>
      <c r="G121" t="s">
        <v>313</v>
      </c>
      <c r="H121" t="s">
        <v>277</v>
      </c>
    </row>
    <row r="122" spans="1:8">
      <c r="A122">
        <v>14932</v>
      </c>
      <c r="B122" t="s">
        <v>273</v>
      </c>
      <c r="C122" t="s">
        <v>315</v>
      </c>
      <c r="D122" t="str">
        <f t="shared" si="1"/>
        <v>ligue1_rcl</v>
      </c>
      <c r="E122" t="s">
        <v>316</v>
      </c>
      <c r="F122">
        <v>449</v>
      </c>
      <c r="G122" t="s">
        <v>316</v>
      </c>
      <c r="H122" t="s">
        <v>277</v>
      </c>
    </row>
    <row r="123" spans="1:8">
      <c r="A123">
        <v>14932</v>
      </c>
      <c r="B123" t="s">
        <v>273</v>
      </c>
      <c r="C123" t="s">
        <v>318</v>
      </c>
      <c r="D123" t="str">
        <f t="shared" si="1"/>
        <v>ligue1_aux</v>
      </c>
      <c r="E123" t="s">
        <v>319</v>
      </c>
      <c r="F123">
        <v>479</v>
      </c>
      <c r="G123" t="s">
        <v>320</v>
      </c>
      <c r="H123" t="s">
        <v>277</v>
      </c>
    </row>
    <row r="124" spans="1:8">
      <c r="A124">
        <v>14932</v>
      </c>
      <c r="B124" t="s">
        <v>273</v>
      </c>
      <c r="C124" t="s">
        <v>322</v>
      </c>
      <c r="D124" t="str">
        <f t="shared" si="1"/>
        <v>ligue1_str</v>
      </c>
      <c r="E124" t="s">
        <v>323</v>
      </c>
      <c r="F124">
        <v>480</v>
      </c>
      <c r="G124" t="s">
        <v>323</v>
      </c>
      <c r="H124" t="s">
        <v>277</v>
      </c>
    </row>
    <row r="125" spans="1:8">
      <c r="A125">
        <v>14932</v>
      </c>
      <c r="B125" t="s">
        <v>273</v>
      </c>
      <c r="C125" t="s">
        <v>45</v>
      </c>
      <c r="D125" t="str">
        <f t="shared" si="1"/>
        <v>ligue1_bre</v>
      </c>
      <c r="E125" t="s">
        <v>325</v>
      </c>
      <c r="F125">
        <v>491</v>
      </c>
      <c r="G125" t="s">
        <v>325</v>
      </c>
      <c r="H125" t="s">
        <v>277</v>
      </c>
    </row>
    <row r="126" spans="1:8">
      <c r="A126">
        <v>14932</v>
      </c>
      <c r="B126" t="s">
        <v>273</v>
      </c>
      <c r="C126" t="s">
        <v>327</v>
      </c>
      <c r="D126" t="str">
        <f t="shared" si="1"/>
        <v>ligue1_hac</v>
      </c>
      <c r="E126" t="s">
        <v>328</v>
      </c>
      <c r="F126">
        <v>493</v>
      </c>
      <c r="G126" t="s">
        <v>329</v>
      </c>
      <c r="H126" t="s">
        <v>277</v>
      </c>
    </row>
    <row r="127" spans="1:8">
      <c r="A127">
        <v>14932</v>
      </c>
      <c r="B127" t="s">
        <v>273</v>
      </c>
      <c r="C127" t="s">
        <v>131</v>
      </c>
      <c r="D127" t="str">
        <f t="shared" si="1"/>
        <v>ligue1_par</v>
      </c>
      <c r="E127" t="s">
        <v>331</v>
      </c>
      <c r="F127">
        <v>494</v>
      </c>
      <c r="G127" t="s">
        <v>332</v>
      </c>
      <c r="H127" t="s">
        <v>277</v>
      </c>
    </row>
    <row r="128" spans="1:8">
      <c r="A128">
        <v>14936</v>
      </c>
      <c r="B128" t="s">
        <v>334</v>
      </c>
      <c r="C128" t="s">
        <v>335</v>
      </c>
      <c r="D128" t="str">
        <f t="shared" si="1"/>
        <v>eredivisie_aja</v>
      </c>
      <c r="E128" t="s">
        <v>336</v>
      </c>
      <c r="F128">
        <v>120</v>
      </c>
      <c r="G128" t="s">
        <v>337</v>
      </c>
      <c r="H128" t="s">
        <v>338</v>
      </c>
    </row>
    <row r="129" spans="1:8">
      <c r="A129">
        <v>14936</v>
      </c>
      <c r="B129" t="s">
        <v>334</v>
      </c>
      <c r="C129" t="s">
        <v>339</v>
      </c>
      <c r="D129" t="str">
        <f t="shared" si="1"/>
        <v>eredivisie_psv</v>
      </c>
      <c r="E129" t="s">
        <v>340</v>
      </c>
      <c r="F129">
        <v>121</v>
      </c>
      <c r="G129" t="s">
        <v>339</v>
      </c>
      <c r="H129" t="s">
        <v>338</v>
      </c>
    </row>
    <row r="130" spans="1:8">
      <c r="A130">
        <v>14936</v>
      </c>
      <c r="B130" t="s">
        <v>334</v>
      </c>
      <c r="C130" t="s">
        <v>341</v>
      </c>
      <c r="D130" t="str">
        <f t="shared" si="1"/>
        <v>eredivisie_gae</v>
      </c>
      <c r="E130" t="s">
        <v>342</v>
      </c>
      <c r="F130">
        <v>366</v>
      </c>
      <c r="G130" t="s">
        <v>342</v>
      </c>
      <c r="H130" t="s">
        <v>338</v>
      </c>
    </row>
    <row r="131" spans="1:8">
      <c r="A131">
        <v>14936</v>
      </c>
      <c r="B131" t="s">
        <v>334</v>
      </c>
      <c r="C131" t="s">
        <v>343</v>
      </c>
      <c r="D131" t="str">
        <f t="shared" si="1"/>
        <v>eredivisie_fey</v>
      </c>
      <c r="E131" t="s">
        <v>344</v>
      </c>
      <c r="F131">
        <v>367</v>
      </c>
      <c r="G131" t="s">
        <v>345</v>
      </c>
      <c r="H131" t="s">
        <v>338</v>
      </c>
    </row>
    <row r="132" spans="1:8">
      <c r="A132">
        <v>14936</v>
      </c>
      <c r="B132" t="s">
        <v>334</v>
      </c>
      <c r="C132" t="s">
        <v>346</v>
      </c>
      <c r="D132" t="str">
        <f t="shared" si="1"/>
        <v>eredivisie_her</v>
      </c>
      <c r="E132" t="s">
        <v>347</v>
      </c>
      <c r="F132">
        <v>370</v>
      </c>
      <c r="G132" t="s">
        <v>348</v>
      </c>
      <c r="H132" t="s">
        <v>338</v>
      </c>
    </row>
    <row r="133" spans="1:8">
      <c r="A133">
        <v>14936</v>
      </c>
      <c r="B133" t="s">
        <v>334</v>
      </c>
      <c r="C133" t="s">
        <v>349</v>
      </c>
      <c r="D133" t="str">
        <f t="shared" ref="D133:D196" si="2">LOWER(B133) &amp; "_" &amp; LOWER(C133)</f>
        <v>eredivisie_spa</v>
      </c>
      <c r="E133" t="s">
        <v>350</v>
      </c>
      <c r="F133">
        <v>371</v>
      </c>
      <c r="G133" t="s">
        <v>350</v>
      </c>
      <c r="H133" t="s">
        <v>338</v>
      </c>
    </row>
    <row r="134" spans="1:8">
      <c r="A134">
        <v>14936</v>
      </c>
      <c r="B134" t="s">
        <v>334</v>
      </c>
      <c r="C134" t="s">
        <v>351</v>
      </c>
      <c r="D134" t="str">
        <f t="shared" si="2"/>
        <v>eredivisie_gro</v>
      </c>
      <c r="E134" t="s">
        <v>352</v>
      </c>
      <c r="F134">
        <v>372</v>
      </c>
      <c r="G134" t="s">
        <v>353</v>
      </c>
      <c r="H134" t="s">
        <v>338</v>
      </c>
    </row>
    <row r="135" spans="1:8">
      <c r="A135">
        <v>14936</v>
      </c>
      <c r="B135" t="s">
        <v>334</v>
      </c>
      <c r="C135" t="s">
        <v>354</v>
      </c>
      <c r="D135" t="str">
        <f t="shared" si="2"/>
        <v>eredivisie_hee</v>
      </c>
      <c r="E135" t="s">
        <v>355</v>
      </c>
      <c r="F135">
        <v>373</v>
      </c>
      <c r="G135" t="s">
        <v>355</v>
      </c>
      <c r="H135" t="s">
        <v>338</v>
      </c>
    </row>
    <row r="136" spans="1:8">
      <c r="A136">
        <v>14936</v>
      </c>
      <c r="B136" t="s">
        <v>334</v>
      </c>
      <c r="C136" t="s">
        <v>356</v>
      </c>
      <c r="D136" t="str">
        <f t="shared" si="2"/>
        <v>eredivisie_exc</v>
      </c>
      <c r="E136" t="s">
        <v>357</v>
      </c>
      <c r="F136">
        <v>374</v>
      </c>
      <c r="G136" t="s">
        <v>357</v>
      </c>
      <c r="H136" t="s">
        <v>338</v>
      </c>
    </row>
    <row r="137" spans="1:8">
      <c r="A137">
        <v>14936</v>
      </c>
      <c r="B137" t="s">
        <v>334</v>
      </c>
      <c r="C137" t="s">
        <v>358</v>
      </c>
      <c r="D137" t="str">
        <f t="shared" si="2"/>
        <v>eredivisie_twe</v>
      </c>
      <c r="E137" t="s">
        <v>359</v>
      </c>
      <c r="F137">
        <v>375</v>
      </c>
      <c r="G137" t="s">
        <v>360</v>
      </c>
      <c r="H137" t="s">
        <v>338</v>
      </c>
    </row>
    <row r="138" spans="1:8">
      <c r="A138">
        <v>14936</v>
      </c>
      <c r="B138" t="s">
        <v>334</v>
      </c>
      <c r="C138" t="s">
        <v>361</v>
      </c>
      <c r="D138" t="str">
        <f t="shared" si="2"/>
        <v>eredivisie_utr</v>
      </c>
      <c r="E138" t="s">
        <v>362</v>
      </c>
      <c r="F138">
        <v>376</v>
      </c>
      <c r="G138" t="s">
        <v>363</v>
      </c>
      <c r="H138" t="s">
        <v>338</v>
      </c>
    </row>
    <row r="139" spans="1:8">
      <c r="A139">
        <v>14936</v>
      </c>
      <c r="B139" t="s">
        <v>334</v>
      </c>
      <c r="C139" t="s">
        <v>364</v>
      </c>
      <c r="D139" t="str">
        <f t="shared" si="2"/>
        <v>eredivisie_az</v>
      </c>
      <c r="E139" t="s">
        <v>365</v>
      </c>
      <c r="F139">
        <v>378</v>
      </c>
      <c r="G139" t="s">
        <v>364</v>
      </c>
      <c r="H139" t="s">
        <v>338</v>
      </c>
    </row>
    <row r="140" spans="1:8">
      <c r="A140">
        <v>14936</v>
      </c>
      <c r="B140" t="s">
        <v>334</v>
      </c>
      <c r="C140" t="s">
        <v>366</v>
      </c>
      <c r="D140" t="str">
        <f t="shared" si="2"/>
        <v>eredivisie_nec</v>
      </c>
      <c r="E140" t="s">
        <v>367</v>
      </c>
      <c r="F140">
        <v>379</v>
      </c>
      <c r="G140" t="s">
        <v>366</v>
      </c>
      <c r="H140" t="s">
        <v>338</v>
      </c>
    </row>
    <row r="141" spans="1:8">
      <c r="A141">
        <v>14936</v>
      </c>
      <c r="B141" t="s">
        <v>334</v>
      </c>
      <c r="C141" t="s">
        <v>368</v>
      </c>
      <c r="D141" t="str">
        <f t="shared" si="2"/>
        <v>eredivisie_pec</v>
      </c>
      <c r="E141" t="s">
        <v>369</v>
      </c>
      <c r="F141">
        <v>380</v>
      </c>
      <c r="G141" t="s">
        <v>369</v>
      </c>
      <c r="H141" t="s">
        <v>338</v>
      </c>
    </row>
    <row r="142" spans="1:8">
      <c r="A142">
        <v>14936</v>
      </c>
      <c r="B142" t="s">
        <v>334</v>
      </c>
      <c r="C142" t="s">
        <v>370</v>
      </c>
      <c r="D142" t="str">
        <f t="shared" si="2"/>
        <v>eredivisie_nac</v>
      </c>
      <c r="E142" t="s">
        <v>371</v>
      </c>
      <c r="F142">
        <v>385</v>
      </c>
      <c r="G142" t="s">
        <v>371</v>
      </c>
      <c r="H142" t="s">
        <v>338</v>
      </c>
    </row>
    <row r="143" spans="1:8">
      <c r="A143">
        <v>14936</v>
      </c>
      <c r="B143" t="s">
        <v>334</v>
      </c>
      <c r="C143" t="s">
        <v>372</v>
      </c>
      <c r="D143" t="str">
        <f t="shared" si="2"/>
        <v>eredivisie_for</v>
      </c>
      <c r="E143" t="s">
        <v>373</v>
      </c>
      <c r="F143">
        <v>387</v>
      </c>
      <c r="G143" t="s">
        <v>373</v>
      </c>
      <c r="H143" t="s">
        <v>338</v>
      </c>
    </row>
    <row r="144" spans="1:8">
      <c r="A144">
        <v>14936</v>
      </c>
      <c r="B144" t="s">
        <v>334</v>
      </c>
      <c r="C144" t="s">
        <v>374</v>
      </c>
      <c r="D144" t="str">
        <f t="shared" si="2"/>
        <v>eredivisie_tel</v>
      </c>
      <c r="E144" t="s">
        <v>375</v>
      </c>
      <c r="F144">
        <v>389</v>
      </c>
      <c r="G144" t="s">
        <v>375</v>
      </c>
      <c r="H144" t="s">
        <v>338</v>
      </c>
    </row>
    <row r="145" spans="1:8">
      <c r="A145">
        <v>14936</v>
      </c>
      <c r="B145" t="s">
        <v>334</v>
      </c>
      <c r="C145" t="s">
        <v>376</v>
      </c>
      <c r="D145" t="str">
        <f t="shared" si="2"/>
        <v>eredivisie_vol</v>
      </c>
      <c r="E145" t="s">
        <v>377</v>
      </c>
      <c r="F145">
        <v>398</v>
      </c>
      <c r="G145" t="s">
        <v>378</v>
      </c>
      <c r="H145" t="s">
        <v>338</v>
      </c>
    </row>
    <row r="146" spans="1:8">
      <c r="A146">
        <v>14936</v>
      </c>
      <c r="B146" t="s">
        <v>379</v>
      </c>
      <c r="C146" t="s">
        <v>380</v>
      </c>
      <c r="D146" t="str">
        <f t="shared" si="2"/>
        <v>liga_mx_ame</v>
      </c>
      <c r="E146" t="s">
        <v>381</v>
      </c>
      <c r="F146">
        <v>1420</v>
      </c>
      <c r="G146" t="s">
        <v>381</v>
      </c>
      <c r="H146" t="s">
        <v>382</v>
      </c>
    </row>
    <row r="147" spans="1:8">
      <c r="A147">
        <v>14936</v>
      </c>
      <c r="B147" t="s">
        <v>379</v>
      </c>
      <c r="C147" t="s">
        <v>383</v>
      </c>
      <c r="D147" t="str">
        <f t="shared" si="2"/>
        <v>liga_mx_ats</v>
      </c>
      <c r="E147" t="s">
        <v>384</v>
      </c>
      <c r="F147">
        <v>1421</v>
      </c>
      <c r="G147" t="s">
        <v>384</v>
      </c>
      <c r="H147" t="s">
        <v>382</v>
      </c>
    </row>
    <row r="148" spans="1:8">
      <c r="A148">
        <v>14936</v>
      </c>
      <c r="B148" t="s">
        <v>379</v>
      </c>
      <c r="C148" t="s">
        <v>385</v>
      </c>
      <c r="D148" t="str">
        <f t="shared" si="2"/>
        <v>liga_mx_asl</v>
      </c>
      <c r="E148" t="s">
        <v>386</v>
      </c>
      <c r="F148">
        <v>1449</v>
      </c>
      <c r="G148" t="s">
        <v>387</v>
      </c>
      <c r="H148" t="s">
        <v>382</v>
      </c>
    </row>
    <row r="149" spans="1:8">
      <c r="A149">
        <v>14936</v>
      </c>
      <c r="B149" t="s">
        <v>379</v>
      </c>
      <c r="C149" t="s">
        <v>388</v>
      </c>
      <c r="D149" t="str">
        <f t="shared" si="2"/>
        <v>liga_mx_caz</v>
      </c>
      <c r="E149" t="s">
        <v>389</v>
      </c>
      <c r="F149">
        <v>1432</v>
      </c>
      <c r="G149" t="s">
        <v>389</v>
      </c>
      <c r="H149" t="s">
        <v>382</v>
      </c>
    </row>
    <row r="150" spans="1:8">
      <c r="A150">
        <v>14936</v>
      </c>
      <c r="B150" t="s">
        <v>379</v>
      </c>
      <c r="C150" t="s">
        <v>390</v>
      </c>
      <c r="D150" t="str">
        <f t="shared" si="2"/>
        <v>liga_mx_gdl</v>
      </c>
      <c r="E150" t="s">
        <v>391</v>
      </c>
      <c r="F150">
        <v>1431</v>
      </c>
      <c r="G150" t="s">
        <v>391</v>
      </c>
      <c r="H150" t="s">
        <v>382</v>
      </c>
    </row>
    <row r="151" spans="1:8">
      <c r="A151">
        <v>14936</v>
      </c>
      <c r="B151" t="s">
        <v>379</v>
      </c>
      <c r="C151" t="s">
        <v>392</v>
      </c>
      <c r="D151" t="str">
        <f t="shared" si="2"/>
        <v>liga_mx_jua</v>
      </c>
      <c r="E151" t="s">
        <v>393</v>
      </c>
      <c r="F151">
        <v>1444</v>
      </c>
      <c r="G151" t="s">
        <v>394</v>
      </c>
      <c r="H151" t="s">
        <v>382</v>
      </c>
    </row>
    <row r="152" spans="1:8">
      <c r="A152">
        <v>14936</v>
      </c>
      <c r="B152" t="s">
        <v>379</v>
      </c>
      <c r="C152" t="s">
        <v>395</v>
      </c>
      <c r="D152" t="str">
        <f t="shared" si="2"/>
        <v>liga_mx_leo</v>
      </c>
      <c r="E152" t="s">
        <v>396</v>
      </c>
      <c r="F152">
        <v>1434</v>
      </c>
      <c r="G152" t="s">
        <v>396</v>
      </c>
      <c r="H152" t="s">
        <v>382</v>
      </c>
    </row>
    <row r="153" spans="1:8">
      <c r="A153">
        <v>14936</v>
      </c>
      <c r="B153" t="s">
        <v>379</v>
      </c>
      <c r="C153" t="s">
        <v>397</v>
      </c>
      <c r="D153" t="str">
        <f t="shared" si="2"/>
        <v>liga_mx_maz</v>
      </c>
      <c r="E153" t="s">
        <v>398</v>
      </c>
      <c r="F153">
        <v>686211</v>
      </c>
      <c r="G153" t="s">
        <v>399</v>
      </c>
      <c r="H153" t="s">
        <v>382</v>
      </c>
    </row>
    <row r="154" spans="1:8">
      <c r="A154">
        <v>14936</v>
      </c>
      <c r="B154" t="s">
        <v>379</v>
      </c>
      <c r="C154" t="s">
        <v>400</v>
      </c>
      <c r="D154" t="str">
        <f t="shared" si="2"/>
        <v>liga_mx_mty</v>
      </c>
      <c r="E154" t="s">
        <v>401</v>
      </c>
      <c r="F154">
        <v>1430</v>
      </c>
      <c r="G154" t="s">
        <v>401</v>
      </c>
      <c r="H154" t="s">
        <v>382</v>
      </c>
    </row>
    <row r="155" spans="1:8">
      <c r="A155">
        <v>14936</v>
      </c>
      <c r="B155" t="s">
        <v>379</v>
      </c>
      <c r="C155" t="s">
        <v>402</v>
      </c>
      <c r="D155" t="str">
        <f t="shared" si="2"/>
        <v>liga_mx_ncx</v>
      </c>
      <c r="E155" t="s">
        <v>403</v>
      </c>
      <c r="F155">
        <v>1428</v>
      </c>
      <c r="G155" t="s">
        <v>403</v>
      </c>
      <c r="H155" t="s">
        <v>382</v>
      </c>
    </row>
    <row r="156" spans="1:8">
      <c r="A156">
        <v>14936</v>
      </c>
      <c r="B156" t="s">
        <v>379</v>
      </c>
      <c r="C156" t="s">
        <v>404</v>
      </c>
      <c r="D156" t="str">
        <f t="shared" si="2"/>
        <v>liga_mx_pac</v>
      </c>
      <c r="E156" t="s">
        <v>405</v>
      </c>
      <c r="F156">
        <v>1417</v>
      </c>
      <c r="G156" t="s">
        <v>405</v>
      </c>
      <c r="H156" t="s">
        <v>382</v>
      </c>
    </row>
    <row r="157" spans="1:8">
      <c r="A157">
        <v>14936</v>
      </c>
      <c r="B157" t="s">
        <v>379</v>
      </c>
      <c r="C157" t="s">
        <v>406</v>
      </c>
      <c r="D157" t="str">
        <f t="shared" si="2"/>
        <v>liga_mx_pue</v>
      </c>
      <c r="E157" t="s">
        <v>407</v>
      </c>
      <c r="F157">
        <v>1433</v>
      </c>
      <c r="G157" t="s">
        <v>407</v>
      </c>
      <c r="H157" t="s">
        <v>382</v>
      </c>
    </row>
    <row r="158" spans="1:8">
      <c r="A158">
        <v>14936</v>
      </c>
      <c r="B158" t="s">
        <v>379</v>
      </c>
      <c r="C158" t="s">
        <v>408</v>
      </c>
      <c r="D158" t="str">
        <f t="shared" si="2"/>
        <v>liga_mx_unam</v>
      </c>
      <c r="E158" t="s">
        <v>409</v>
      </c>
      <c r="F158">
        <v>1422</v>
      </c>
      <c r="G158" t="s">
        <v>409</v>
      </c>
      <c r="H158" t="s">
        <v>382</v>
      </c>
    </row>
    <row r="159" spans="1:8">
      <c r="A159">
        <v>14936</v>
      </c>
      <c r="B159" t="s">
        <v>379</v>
      </c>
      <c r="C159" t="s">
        <v>410</v>
      </c>
      <c r="D159" t="str">
        <f t="shared" si="2"/>
        <v>liga_mx_qro</v>
      </c>
      <c r="E159" t="s">
        <v>411</v>
      </c>
      <c r="F159">
        <v>1427</v>
      </c>
      <c r="G159" t="s">
        <v>411</v>
      </c>
      <c r="H159" t="s">
        <v>382</v>
      </c>
    </row>
    <row r="160" spans="1:8">
      <c r="A160">
        <v>14936</v>
      </c>
      <c r="B160" t="s">
        <v>379</v>
      </c>
      <c r="C160" t="s">
        <v>412</v>
      </c>
      <c r="D160" t="str">
        <f t="shared" si="2"/>
        <v>liga_mx_san</v>
      </c>
      <c r="E160" t="s">
        <v>413</v>
      </c>
      <c r="F160">
        <v>1426</v>
      </c>
      <c r="G160" t="s">
        <v>414</v>
      </c>
      <c r="H160" t="s">
        <v>382</v>
      </c>
    </row>
    <row r="161" spans="1:8">
      <c r="A161">
        <v>14936</v>
      </c>
      <c r="B161" t="s">
        <v>379</v>
      </c>
      <c r="C161" t="s">
        <v>415</v>
      </c>
      <c r="D161" t="str">
        <f t="shared" si="2"/>
        <v>liga_mx_uanl</v>
      </c>
      <c r="E161" t="s">
        <v>416</v>
      </c>
      <c r="F161">
        <v>1423</v>
      </c>
      <c r="G161" t="s">
        <v>416</v>
      </c>
      <c r="H161" t="s">
        <v>382</v>
      </c>
    </row>
    <row r="162" spans="1:8">
      <c r="A162">
        <v>14936</v>
      </c>
      <c r="B162" t="s">
        <v>379</v>
      </c>
      <c r="C162" t="s">
        <v>417</v>
      </c>
      <c r="D162" t="str">
        <f t="shared" si="2"/>
        <v>liga_mx_tij</v>
      </c>
      <c r="E162" t="s">
        <v>418</v>
      </c>
      <c r="F162">
        <v>1418</v>
      </c>
      <c r="G162" t="s">
        <v>418</v>
      </c>
      <c r="H162" t="s">
        <v>382</v>
      </c>
    </row>
    <row r="163" spans="1:8">
      <c r="A163">
        <v>14936</v>
      </c>
      <c r="B163" t="s">
        <v>379</v>
      </c>
      <c r="C163" t="s">
        <v>419</v>
      </c>
      <c r="D163" t="str">
        <f t="shared" si="2"/>
        <v>liga_mx_tol</v>
      </c>
      <c r="E163" t="s">
        <v>420</v>
      </c>
      <c r="F163">
        <v>1424</v>
      </c>
      <c r="G163" t="s">
        <v>420</v>
      </c>
      <c r="H163" t="s">
        <v>382</v>
      </c>
    </row>
    <row r="164" spans="1:8">
      <c r="A164">
        <v>14924</v>
      </c>
      <c r="B164" t="s">
        <v>422</v>
      </c>
      <c r="C164" t="s">
        <v>335</v>
      </c>
      <c r="D164" t="str">
        <f t="shared" si="2"/>
        <v>uefa_aja</v>
      </c>
      <c r="E164" t="s">
        <v>336</v>
      </c>
      <c r="F164">
        <v>120</v>
      </c>
      <c r="G164" t="s">
        <v>337</v>
      </c>
      <c r="H164" t="s">
        <v>423</v>
      </c>
    </row>
    <row r="165" spans="1:8">
      <c r="A165">
        <v>14924</v>
      </c>
      <c r="B165" t="s">
        <v>422</v>
      </c>
      <c r="C165" t="s">
        <v>10</v>
      </c>
      <c r="D165" t="str">
        <f t="shared" si="2"/>
        <v>uefa_ars</v>
      </c>
      <c r="E165" t="s">
        <v>424</v>
      </c>
      <c r="F165">
        <v>59</v>
      </c>
      <c r="G165" t="s">
        <v>424</v>
      </c>
      <c r="H165" t="s">
        <v>423</v>
      </c>
    </row>
    <row r="166" spans="1:8">
      <c r="A166">
        <v>14924</v>
      </c>
      <c r="B166" t="s">
        <v>422</v>
      </c>
      <c r="C166" t="s">
        <v>274</v>
      </c>
      <c r="D166" t="str">
        <f t="shared" si="2"/>
        <v>uefa_mon</v>
      </c>
      <c r="E166" t="s">
        <v>275</v>
      </c>
      <c r="F166">
        <v>56</v>
      </c>
      <c r="G166" t="s">
        <v>276</v>
      </c>
      <c r="H166" t="s">
        <v>423</v>
      </c>
    </row>
    <row r="167" spans="1:8">
      <c r="A167">
        <v>14924</v>
      </c>
      <c r="B167" t="s">
        <v>422</v>
      </c>
      <c r="C167" t="s">
        <v>137</v>
      </c>
      <c r="D167" t="str">
        <f t="shared" si="2"/>
        <v>uefa_ata</v>
      </c>
      <c r="E167" t="s">
        <v>138</v>
      </c>
      <c r="F167">
        <v>464</v>
      </c>
      <c r="G167" t="s">
        <v>138</v>
      </c>
      <c r="H167" t="s">
        <v>423</v>
      </c>
    </row>
    <row r="168" spans="1:8">
      <c r="A168">
        <v>14924</v>
      </c>
      <c r="B168" t="s">
        <v>422</v>
      </c>
      <c r="C168" t="s">
        <v>76</v>
      </c>
      <c r="D168" t="str">
        <f t="shared" si="2"/>
        <v>uefa_ath</v>
      </c>
      <c r="E168" t="s">
        <v>425</v>
      </c>
      <c r="F168">
        <v>285</v>
      </c>
      <c r="G168" t="s">
        <v>78</v>
      </c>
      <c r="H168" t="s">
        <v>423</v>
      </c>
    </row>
    <row r="169" spans="1:8">
      <c r="A169">
        <v>14924</v>
      </c>
      <c r="B169" t="s">
        <v>422</v>
      </c>
      <c r="C169" t="s">
        <v>63</v>
      </c>
      <c r="D169" t="str">
        <f t="shared" si="2"/>
        <v>uefa_atm</v>
      </c>
      <c r="E169" t="s">
        <v>64</v>
      </c>
      <c r="F169">
        <v>117</v>
      </c>
      <c r="G169" t="s">
        <v>64</v>
      </c>
      <c r="H169" t="s">
        <v>423</v>
      </c>
    </row>
    <row r="170" spans="1:8">
      <c r="A170">
        <v>14924</v>
      </c>
      <c r="B170" t="s">
        <v>422</v>
      </c>
      <c r="C170" t="s">
        <v>55</v>
      </c>
      <c r="D170" t="str">
        <f t="shared" si="2"/>
        <v>uefa_bar</v>
      </c>
      <c r="E170" t="s">
        <v>56</v>
      </c>
      <c r="F170">
        <v>83</v>
      </c>
      <c r="G170" t="s">
        <v>57</v>
      </c>
      <c r="H170" t="s">
        <v>423</v>
      </c>
    </row>
    <row r="171" spans="1:8">
      <c r="A171">
        <v>14924</v>
      </c>
      <c r="B171" t="s">
        <v>422</v>
      </c>
      <c r="C171" t="s">
        <v>163</v>
      </c>
      <c r="D171" t="str">
        <f t="shared" si="2"/>
        <v>uefa_b04</v>
      </c>
      <c r="E171" t="s">
        <v>164</v>
      </c>
      <c r="F171">
        <v>40</v>
      </c>
      <c r="G171" t="s">
        <v>164</v>
      </c>
      <c r="H171" t="s">
        <v>423</v>
      </c>
    </row>
    <row r="172" spans="1:8">
      <c r="A172">
        <v>14924</v>
      </c>
      <c r="B172" t="s">
        <v>422</v>
      </c>
      <c r="C172" t="s">
        <v>158</v>
      </c>
      <c r="D172" t="str">
        <f t="shared" si="2"/>
        <v>uefa_mun</v>
      </c>
      <c r="E172" t="s">
        <v>159</v>
      </c>
      <c r="F172">
        <v>38</v>
      </c>
      <c r="G172" t="s">
        <v>160</v>
      </c>
      <c r="H172" t="s">
        <v>423</v>
      </c>
    </row>
    <row r="173" spans="1:8">
      <c r="A173">
        <v>14924</v>
      </c>
      <c r="B173" t="s">
        <v>422</v>
      </c>
      <c r="C173" t="s">
        <v>426</v>
      </c>
      <c r="D173" t="str">
        <f t="shared" si="2"/>
        <v>uefa_ben</v>
      </c>
      <c r="E173" t="s">
        <v>427</v>
      </c>
      <c r="F173">
        <v>78</v>
      </c>
      <c r="G173" t="s">
        <v>427</v>
      </c>
      <c r="H173" t="s">
        <v>423</v>
      </c>
    </row>
    <row r="174" spans="1:8">
      <c r="A174">
        <v>14924</v>
      </c>
      <c r="B174" t="s">
        <v>422</v>
      </c>
      <c r="C174" t="s">
        <v>428</v>
      </c>
      <c r="D174" t="str">
        <f t="shared" si="2"/>
        <v>uefa_bodo</v>
      </c>
      <c r="E174" t="s">
        <v>429</v>
      </c>
      <c r="F174">
        <v>332</v>
      </c>
      <c r="G174" t="s">
        <v>430</v>
      </c>
      <c r="H174" t="s">
        <v>423</v>
      </c>
    </row>
    <row r="175" spans="1:8">
      <c r="A175">
        <v>14924</v>
      </c>
      <c r="B175" t="s">
        <v>422</v>
      </c>
      <c r="C175" t="s">
        <v>148</v>
      </c>
      <c r="D175" t="str">
        <f t="shared" si="2"/>
        <v>uefa_dor</v>
      </c>
      <c r="E175" t="s">
        <v>149</v>
      </c>
      <c r="F175">
        <v>33</v>
      </c>
      <c r="G175" t="s">
        <v>149</v>
      </c>
      <c r="H175" t="s">
        <v>423</v>
      </c>
    </row>
    <row r="176" spans="1:8">
      <c r="A176">
        <v>14924</v>
      </c>
      <c r="B176" t="s">
        <v>422</v>
      </c>
      <c r="C176" t="s">
        <v>29</v>
      </c>
      <c r="D176" t="str">
        <f t="shared" si="2"/>
        <v>uefa_che</v>
      </c>
      <c r="E176" t="s">
        <v>431</v>
      </c>
      <c r="F176">
        <v>152</v>
      </c>
      <c r="G176" t="s">
        <v>431</v>
      </c>
      <c r="H176" t="s">
        <v>423</v>
      </c>
    </row>
    <row r="177" spans="1:8">
      <c r="A177">
        <v>14924</v>
      </c>
      <c r="B177" t="s">
        <v>422</v>
      </c>
      <c r="C177" t="s">
        <v>432</v>
      </c>
      <c r="D177" t="str">
        <f t="shared" si="2"/>
        <v>uefa_bru</v>
      </c>
      <c r="E177" t="s">
        <v>433</v>
      </c>
      <c r="F177">
        <v>95</v>
      </c>
      <c r="G177" t="s">
        <v>433</v>
      </c>
      <c r="H177" t="s">
        <v>423</v>
      </c>
    </row>
    <row r="178" spans="1:8">
      <c r="A178">
        <v>14924</v>
      </c>
      <c r="B178" t="s">
        <v>422</v>
      </c>
      <c r="C178" t="s">
        <v>174</v>
      </c>
      <c r="D178" t="str">
        <f t="shared" si="2"/>
        <v>uefa_sge</v>
      </c>
      <c r="E178" t="s">
        <v>175</v>
      </c>
      <c r="F178">
        <v>44</v>
      </c>
      <c r="G178" t="s">
        <v>175</v>
      </c>
      <c r="H178" t="s">
        <v>423</v>
      </c>
    </row>
    <row r="179" spans="1:8">
      <c r="A179">
        <v>14924</v>
      </c>
      <c r="B179" t="s">
        <v>422</v>
      </c>
      <c r="C179" t="s">
        <v>434</v>
      </c>
      <c r="D179" t="str">
        <f t="shared" si="2"/>
        <v>uefa_kbh</v>
      </c>
      <c r="E179" t="s">
        <v>435</v>
      </c>
      <c r="F179">
        <v>55</v>
      </c>
      <c r="G179" t="s">
        <v>436</v>
      </c>
      <c r="H179" t="s">
        <v>423</v>
      </c>
    </row>
    <row r="180" spans="1:8">
      <c r="A180">
        <v>14924</v>
      </c>
      <c r="B180" t="s">
        <v>422</v>
      </c>
      <c r="C180" t="s">
        <v>437</v>
      </c>
      <c r="D180" t="str">
        <f t="shared" si="2"/>
        <v>uefa_qar</v>
      </c>
      <c r="E180" t="s">
        <v>438</v>
      </c>
      <c r="F180">
        <v>75</v>
      </c>
      <c r="G180" t="s">
        <v>439</v>
      </c>
      <c r="H180" t="s">
        <v>423</v>
      </c>
    </row>
    <row r="181" spans="1:8">
      <c r="A181">
        <v>14924</v>
      </c>
      <c r="B181" t="s">
        <v>422</v>
      </c>
      <c r="C181" t="s">
        <v>440</v>
      </c>
      <c r="D181" t="str">
        <f t="shared" si="2"/>
        <v>uefa_gal</v>
      </c>
      <c r="E181" t="s">
        <v>441</v>
      </c>
      <c r="F181">
        <v>187</v>
      </c>
      <c r="G181" t="s">
        <v>441</v>
      </c>
      <c r="H181" t="s">
        <v>423</v>
      </c>
    </row>
    <row r="182" spans="1:8">
      <c r="A182">
        <v>14924</v>
      </c>
      <c r="B182" t="s">
        <v>422</v>
      </c>
      <c r="C182" t="s">
        <v>442</v>
      </c>
      <c r="D182" t="str">
        <f t="shared" si="2"/>
        <v>uefa_int</v>
      </c>
      <c r="E182" t="s">
        <v>443</v>
      </c>
      <c r="F182">
        <v>470</v>
      </c>
      <c r="G182" t="s">
        <v>128</v>
      </c>
      <c r="H182" t="s">
        <v>423</v>
      </c>
    </row>
    <row r="183" spans="1:8">
      <c r="A183">
        <v>14924</v>
      </c>
      <c r="B183" t="s">
        <v>422</v>
      </c>
      <c r="C183" t="s">
        <v>110</v>
      </c>
      <c r="D183" t="str">
        <f t="shared" si="2"/>
        <v>uefa_juv</v>
      </c>
      <c r="E183" t="s">
        <v>111</v>
      </c>
      <c r="F183">
        <v>90</v>
      </c>
      <c r="G183" t="s">
        <v>111</v>
      </c>
      <c r="H183" t="s">
        <v>423</v>
      </c>
    </row>
    <row r="184" spans="1:8">
      <c r="A184">
        <v>14924</v>
      </c>
      <c r="B184" t="s">
        <v>422</v>
      </c>
      <c r="C184" t="s">
        <v>444</v>
      </c>
      <c r="D184" t="str">
        <f t="shared" si="2"/>
        <v>uefa_kai</v>
      </c>
      <c r="E184" t="s">
        <v>445</v>
      </c>
      <c r="F184">
        <v>5408</v>
      </c>
      <c r="G184" t="s">
        <v>446</v>
      </c>
      <c r="H184" t="s">
        <v>423</v>
      </c>
    </row>
    <row r="185" spans="1:8">
      <c r="A185">
        <v>14924</v>
      </c>
      <c r="B185" t="s">
        <v>422</v>
      </c>
      <c r="C185" t="s">
        <v>27</v>
      </c>
      <c r="D185" t="str">
        <f t="shared" si="2"/>
        <v>uefa_liv</v>
      </c>
      <c r="E185" t="s">
        <v>447</v>
      </c>
      <c r="F185">
        <v>151</v>
      </c>
      <c r="G185" t="s">
        <v>447</v>
      </c>
      <c r="H185" t="s">
        <v>423</v>
      </c>
    </row>
    <row r="186" spans="1:8">
      <c r="A186">
        <v>14924</v>
      </c>
      <c r="B186" t="s">
        <v>422</v>
      </c>
      <c r="C186" t="s">
        <v>15</v>
      </c>
      <c r="D186" t="str">
        <f t="shared" si="2"/>
        <v>uefa_mnc</v>
      </c>
      <c r="E186" t="s">
        <v>448</v>
      </c>
      <c r="F186">
        <v>93</v>
      </c>
      <c r="G186" t="s">
        <v>448</v>
      </c>
      <c r="H186" t="s">
        <v>423</v>
      </c>
    </row>
    <row r="187" spans="1:8">
      <c r="A187">
        <v>14924</v>
      </c>
      <c r="B187" t="s">
        <v>422</v>
      </c>
      <c r="C187" t="s">
        <v>301</v>
      </c>
      <c r="D187" t="str">
        <f t="shared" si="2"/>
        <v>uefa_olm</v>
      </c>
      <c r="E187" t="s">
        <v>302</v>
      </c>
      <c r="F187">
        <v>443</v>
      </c>
      <c r="G187" t="s">
        <v>303</v>
      </c>
      <c r="H187" t="s">
        <v>423</v>
      </c>
    </row>
    <row r="188" spans="1:8">
      <c r="A188">
        <v>14924</v>
      </c>
      <c r="B188" t="s">
        <v>422</v>
      </c>
      <c r="C188" t="s">
        <v>107</v>
      </c>
      <c r="D188" t="str">
        <f t="shared" si="2"/>
        <v>uefa_nap</v>
      </c>
      <c r="E188" t="s">
        <v>108</v>
      </c>
      <c r="F188">
        <v>74</v>
      </c>
      <c r="G188" t="s">
        <v>108</v>
      </c>
      <c r="H188" t="s">
        <v>423</v>
      </c>
    </row>
    <row r="189" spans="1:8">
      <c r="A189">
        <v>14924</v>
      </c>
      <c r="B189" t="s">
        <v>422</v>
      </c>
      <c r="C189" t="s">
        <v>35</v>
      </c>
      <c r="D189" t="str">
        <f t="shared" si="2"/>
        <v>uefa_new</v>
      </c>
      <c r="E189" t="s">
        <v>449</v>
      </c>
      <c r="F189">
        <v>157</v>
      </c>
      <c r="G189" t="s">
        <v>449</v>
      </c>
      <c r="H189" t="s">
        <v>423</v>
      </c>
    </row>
    <row r="190" spans="1:8">
      <c r="A190">
        <v>14924</v>
      </c>
      <c r="B190" t="s">
        <v>422</v>
      </c>
      <c r="C190" t="s">
        <v>450</v>
      </c>
      <c r="D190" t="str">
        <f t="shared" si="2"/>
        <v>uefa_oly</v>
      </c>
      <c r="E190" t="s">
        <v>451</v>
      </c>
      <c r="F190">
        <v>116</v>
      </c>
      <c r="G190" t="s">
        <v>452</v>
      </c>
      <c r="H190" t="s">
        <v>423</v>
      </c>
    </row>
    <row r="191" spans="1:8">
      <c r="A191">
        <v>14924</v>
      </c>
      <c r="B191" t="s">
        <v>422</v>
      </c>
      <c r="C191" t="s">
        <v>453</v>
      </c>
      <c r="D191" t="str">
        <f t="shared" si="2"/>
        <v>uefa_paf</v>
      </c>
      <c r="E191" t="s">
        <v>454</v>
      </c>
      <c r="F191">
        <v>3743</v>
      </c>
      <c r="G191" t="s">
        <v>455</v>
      </c>
      <c r="H191" t="s">
        <v>423</v>
      </c>
    </row>
    <row r="192" spans="1:8">
      <c r="A192">
        <v>14924</v>
      </c>
      <c r="B192" t="s">
        <v>422</v>
      </c>
      <c r="C192" t="s">
        <v>282</v>
      </c>
      <c r="D192" t="str">
        <f t="shared" si="2"/>
        <v>uefa_psg</v>
      </c>
      <c r="E192" t="s">
        <v>283</v>
      </c>
      <c r="F192">
        <v>68</v>
      </c>
      <c r="G192" t="s">
        <v>282</v>
      </c>
      <c r="H192" t="s">
        <v>423</v>
      </c>
    </row>
    <row r="193" spans="1:8">
      <c r="A193">
        <v>14924</v>
      </c>
      <c r="B193" t="s">
        <v>422</v>
      </c>
      <c r="C193" t="s">
        <v>339</v>
      </c>
      <c r="D193" t="str">
        <f t="shared" si="2"/>
        <v>uefa_psv</v>
      </c>
      <c r="E193" t="s">
        <v>340</v>
      </c>
      <c r="F193">
        <v>121</v>
      </c>
      <c r="G193" t="s">
        <v>339</v>
      </c>
      <c r="H193" t="s">
        <v>423</v>
      </c>
    </row>
    <row r="194" spans="1:8">
      <c r="A194">
        <v>14924</v>
      </c>
      <c r="B194" t="s">
        <v>422</v>
      </c>
      <c r="C194" t="s">
        <v>58</v>
      </c>
      <c r="D194" t="str">
        <f t="shared" si="2"/>
        <v>uefa_rma</v>
      </c>
      <c r="E194" t="s">
        <v>59</v>
      </c>
      <c r="F194">
        <v>84</v>
      </c>
      <c r="G194" t="s">
        <v>59</v>
      </c>
      <c r="H194" t="s">
        <v>423</v>
      </c>
    </row>
    <row r="195" spans="1:8">
      <c r="A195">
        <v>14924</v>
      </c>
      <c r="B195" t="s">
        <v>422</v>
      </c>
      <c r="C195" t="s">
        <v>456</v>
      </c>
      <c r="D195" t="str">
        <f t="shared" si="2"/>
        <v>uefa_slp</v>
      </c>
      <c r="E195" t="s">
        <v>457</v>
      </c>
      <c r="F195">
        <v>1213</v>
      </c>
      <c r="G195" t="s">
        <v>458</v>
      </c>
      <c r="H195" t="s">
        <v>423</v>
      </c>
    </row>
    <row r="196" spans="1:8">
      <c r="A196">
        <v>14924</v>
      </c>
      <c r="B196" t="s">
        <v>422</v>
      </c>
      <c r="C196" t="s">
        <v>459</v>
      </c>
      <c r="D196" t="str">
        <f t="shared" si="2"/>
        <v>uefa_scp</v>
      </c>
      <c r="E196" t="s">
        <v>460</v>
      </c>
      <c r="F196">
        <v>114</v>
      </c>
      <c r="G196" t="s">
        <v>460</v>
      </c>
      <c r="H196" t="s">
        <v>423</v>
      </c>
    </row>
    <row r="197" spans="1:8">
      <c r="A197">
        <v>14924</v>
      </c>
      <c r="B197" t="s">
        <v>422</v>
      </c>
      <c r="C197" t="s">
        <v>13</v>
      </c>
      <c r="D197" t="str">
        <f t="shared" ref="D197:D199" si="3">LOWER(B197) &amp; "_" &amp; LOWER(C197)</f>
        <v>uefa_tot</v>
      </c>
      <c r="E197" t="s">
        <v>461</v>
      </c>
      <c r="F197">
        <v>92</v>
      </c>
      <c r="G197" t="s">
        <v>461</v>
      </c>
      <c r="H197" t="s">
        <v>423</v>
      </c>
    </row>
    <row r="198" spans="1:8">
      <c r="A198">
        <v>14924</v>
      </c>
      <c r="B198" t="s">
        <v>422</v>
      </c>
      <c r="C198" t="s">
        <v>462</v>
      </c>
      <c r="D198" t="str">
        <f t="shared" si="3"/>
        <v>uefa_usg</v>
      </c>
      <c r="E198" t="s">
        <v>463</v>
      </c>
      <c r="F198">
        <v>2572</v>
      </c>
      <c r="G198" t="s">
        <v>464</v>
      </c>
      <c r="H198" t="s">
        <v>423</v>
      </c>
    </row>
    <row r="199" spans="1:8">
      <c r="A199">
        <v>14924</v>
      </c>
      <c r="B199" t="s">
        <v>422</v>
      </c>
      <c r="C199" t="s">
        <v>52</v>
      </c>
      <c r="D199" t="str">
        <f t="shared" si="3"/>
        <v>uefa_vil</v>
      </c>
      <c r="E199" t="s">
        <v>53</v>
      </c>
      <c r="F199">
        <v>76</v>
      </c>
      <c r="G199" t="s">
        <v>53</v>
      </c>
      <c r="H199" t="s">
        <v>423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4CC4-BFB5-4694-9697-7D81B7A95B7B}">
  <dimension ref="A1:I199"/>
  <sheetViews>
    <sheetView topLeftCell="A38" workbookViewId="0">
      <selection activeCell="A2" sqref="A2:I199"/>
    </sheetView>
  </sheetViews>
  <sheetFormatPr defaultRowHeight="14.45"/>
  <cols>
    <col min="1" max="1" width="10.85546875" bestFit="1" customWidth="1"/>
    <col min="2" max="2" width="13.42578125" bestFit="1" customWidth="1"/>
    <col min="3" max="3" width="29.28515625" bestFit="1" customWidth="1"/>
    <col min="4" max="4" width="29.140625" bestFit="1" customWidth="1"/>
    <col min="5" max="5" width="19.7109375" bestFit="1" customWidth="1"/>
    <col min="6" max="6" width="24.85546875" bestFit="1" customWidth="1"/>
    <col min="7" max="7" width="17.7109375" bestFit="1" customWidth="1"/>
    <col min="8" max="8" width="24.85546875" bestFit="1" customWidth="1"/>
    <col min="9" max="9" width="20.85546875" bestFit="1" customWidth="1"/>
  </cols>
  <sheetData>
    <row r="1" spans="1:9">
      <c r="A1" s="2" t="s">
        <v>471</v>
      </c>
      <c r="B1" s="2" t="s">
        <v>472</v>
      </c>
      <c r="C1" s="2" t="s">
        <v>473</v>
      </c>
      <c r="D1" s="2" t="s">
        <v>474</v>
      </c>
      <c r="E1" s="2" t="s">
        <v>475</v>
      </c>
      <c r="F1" s="2" t="s">
        <v>476</v>
      </c>
      <c r="G1" s="2" t="s">
        <v>477</v>
      </c>
      <c r="H1" s="2" t="s">
        <v>478</v>
      </c>
      <c r="I1" s="2" t="s">
        <v>479</v>
      </c>
    </row>
    <row r="2" spans="1:9">
      <c r="A2" s="5">
        <v>1</v>
      </c>
      <c r="B2" s="5">
        <v>15050</v>
      </c>
      <c r="C2" s="5" t="s">
        <v>9</v>
      </c>
      <c r="D2" s="5" t="s">
        <v>10</v>
      </c>
      <c r="E2" s="5" t="e">
        <f>LOWER(Table57811121314[[#This Row],[Leage_Abbrivation_Winbets]]) &amp; "_" &amp; LOWER(Table57811121314[[#This Row],[Team_Abbrivation_Winbets]])</f>
        <v>#VALUE!</v>
      </c>
      <c r="F2" s="6" t="s">
        <v>11</v>
      </c>
      <c r="G2" s="5">
        <v>59</v>
      </c>
      <c r="H2" s="6" t="s">
        <v>11</v>
      </c>
      <c r="I2" s="5" t="s">
        <v>12</v>
      </c>
    </row>
    <row r="3" spans="1:9">
      <c r="A3" s="5">
        <v>2</v>
      </c>
      <c r="B3" s="5">
        <v>15050</v>
      </c>
      <c r="C3" s="5" t="s">
        <v>9</v>
      </c>
      <c r="D3" s="5" t="s">
        <v>13</v>
      </c>
      <c r="E3" s="5" t="e">
        <f>LOWER(Table57811121314[[#This Row],[Leage_Abbrivation_Winbets]]) &amp; "_" &amp; LOWER(Table57811121314[[#This Row],[Team_Abbrivation_Winbets]])</f>
        <v>#VALUE!</v>
      </c>
      <c r="F3" s="6" t="s">
        <v>14</v>
      </c>
      <c r="G3" s="5">
        <v>92</v>
      </c>
      <c r="H3" s="6" t="s">
        <v>14</v>
      </c>
      <c r="I3" s="5" t="s">
        <v>12</v>
      </c>
    </row>
    <row r="4" spans="1:9">
      <c r="A4" s="5">
        <v>3</v>
      </c>
      <c r="B4" s="5">
        <v>15050</v>
      </c>
      <c r="C4" s="5" t="s">
        <v>9</v>
      </c>
      <c r="D4" s="5" t="s">
        <v>15</v>
      </c>
      <c r="E4" s="5" t="e">
        <f>LOWER(Table57811121314[[#This Row],[Leage_Abbrivation_Winbets]]) &amp; "_" &amp; LOWER(Table57811121314[[#This Row],[Team_Abbrivation_Winbets]])</f>
        <v>#VALUE!</v>
      </c>
      <c r="F4" s="6" t="s">
        <v>16</v>
      </c>
      <c r="G4" s="5">
        <v>93</v>
      </c>
      <c r="H4" s="6" t="s">
        <v>16</v>
      </c>
      <c r="I4" s="5" t="s">
        <v>12</v>
      </c>
    </row>
    <row r="5" spans="1:9">
      <c r="A5" s="5">
        <v>4</v>
      </c>
      <c r="B5" s="5">
        <v>15050</v>
      </c>
      <c r="C5" s="5" t="s">
        <v>9</v>
      </c>
      <c r="D5" s="5" t="s">
        <v>17</v>
      </c>
      <c r="E5" s="5" t="e">
        <f>LOWER(Table57811121314[[#This Row],[Leage_Abbrivation_Winbets]]) &amp; "_" &amp; LOWER(Table57811121314[[#This Row],[Team_Abbrivation_Winbets]])</f>
        <v>#VALUE!</v>
      </c>
      <c r="F5" s="6" t="s">
        <v>18</v>
      </c>
      <c r="G5" s="5">
        <v>143</v>
      </c>
      <c r="H5" s="6" t="s">
        <v>18</v>
      </c>
      <c r="I5" s="5" t="s">
        <v>12</v>
      </c>
    </row>
    <row r="6" spans="1:9">
      <c r="A6" s="5">
        <v>5</v>
      </c>
      <c r="B6" s="5">
        <v>15050</v>
      </c>
      <c r="C6" s="5" t="s">
        <v>9</v>
      </c>
      <c r="D6" s="5" t="s">
        <v>19</v>
      </c>
      <c r="E6" s="5" t="e">
        <f>LOWER(Table57811121314[[#This Row],[Leage_Abbrivation_Winbets]]) &amp; "_" &amp; LOWER(Table57811121314[[#This Row],[Team_Abbrivation_Winbets]])</f>
        <v>#VALUE!</v>
      </c>
      <c r="F6" s="6" t="s">
        <v>20</v>
      </c>
      <c r="G6" s="5">
        <v>144</v>
      </c>
      <c r="H6" s="6" t="s">
        <v>20</v>
      </c>
      <c r="I6" s="5" t="s">
        <v>12</v>
      </c>
    </row>
    <row r="7" spans="1:9">
      <c r="A7" s="5">
        <v>6</v>
      </c>
      <c r="B7" s="5">
        <v>15050</v>
      </c>
      <c r="C7" s="5" t="s">
        <v>9</v>
      </c>
      <c r="D7" s="5" t="s">
        <v>21</v>
      </c>
      <c r="E7" s="5" t="e">
        <f>LOWER(Table57811121314[[#This Row],[Leage_Abbrivation_Winbets]]) &amp; "_" &amp; LOWER(Table57811121314[[#This Row],[Team_Abbrivation_Winbets]])</f>
        <v>#VALUE!</v>
      </c>
      <c r="F7" s="6" t="s">
        <v>22</v>
      </c>
      <c r="G7" s="5">
        <v>145</v>
      </c>
      <c r="H7" s="6" t="s">
        <v>22</v>
      </c>
      <c r="I7" s="5" t="s">
        <v>12</v>
      </c>
    </row>
    <row r="8" spans="1:9">
      <c r="A8" s="5">
        <v>7</v>
      </c>
      <c r="B8" s="5">
        <v>15050</v>
      </c>
      <c r="C8" s="5" t="s">
        <v>9</v>
      </c>
      <c r="D8" s="5" t="s">
        <v>23</v>
      </c>
      <c r="E8" s="5" t="e">
        <f>LOWER(Table57811121314[[#This Row],[Leage_Abbrivation_Winbets]]) &amp; "_" &amp; LOWER(Table57811121314[[#This Row],[Team_Abbrivation_Winbets]])</f>
        <v>#VALUE!</v>
      </c>
      <c r="F8" s="6" t="s">
        <v>24</v>
      </c>
      <c r="G8" s="5">
        <v>148</v>
      </c>
      <c r="H8" s="6" t="s">
        <v>24</v>
      </c>
      <c r="I8" s="5" t="s">
        <v>12</v>
      </c>
    </row>
    <row r="9" spans="1:9">
      <c r="A9" s="5">
        <v>8</v>
      </c>
      <c r="B9" s="5">
        <v>15050</v>
      </c>
      <c r="C9" s="5" t="s">
        <v>9</v>
      </c>
      <c r="D9" s="5" t="s">
        <v>25</v>
      </c>
      <c r="E9" s="5" t="e">
        <f>LOWER(Table57811121314[[#This Row],[Leage_Abbrivation_Winbets]]) &amp; "_" &amp; LOWER(Table57811121314[[#This Row],[Team_Abbrivation_Winbets]])</f>
        <v>#VALUE!</v>
      </c>
      <c r="F9" s="6" t="s">
        <v>26</v>
      </c>
      <c r="G9" s="5">
        <v>149</v>
      </c>
      <c r="H9" s="6" t="s">
        <v>26</v>
      </c>
      <c r="I9" s="5" t="s">
        <v>12</v>
      </c>
    </row>
    <row r="10" spans="1:9">
      <c r="A10" s="5">
        <v>9</v>
      </c>
      <c r="B10" s="5">
        <v>15050</v>
      </c>
      <c r="C10" s="5" t="s">
        <v>9</v>
      </c>
      <c r="D10" s="5" t="s">
        <v>27</v>
      </c>
      <c r="E10" s="5" t="e">
        <f>LOWER(Table57811121314[[#This Row],[Leage_Abbrivation_Winbets]]) &amp; "_" &amp; LOWER(Table57811121314[[#This Row],[Team_Abbrivation_Winbets]])</f>
        <v>#VALUE!</v>
      </c>
      <c r="F10" s="6" t="s">
        <v>28</v>
      </c>
      <c r="G10" s="5">
        <v>151</v>
      </c>
      <c r="H10" s="6" t="s">
        <v>28</v>
      </c>
      <c r="I10" s="5" t="s">
        <v>12</v>
      </c>
    </row>
    <row r="11" spans="1:9">
      <c r="A11" s="5">
        <v>10</v>
      </c>
      <c r="B11" s="5">
        <v>15050</v>
      </c>
      <c r="C11" s="5" t="s">
        <v>9</v>
      </c>
      <c r="D11" s="5" t="s">
        <v>29</v>
      </c>
      <c r="E11" s="5" t="e">
        <f>LOWER(Table57811121314[[#This Row],[Leage_Abbrivation_Winbets]]) &amp; "_" &amp; LOWER(Table57811121314[[#This Row],[Team_Abbrivation_Winbets]])</f>
        <v>#VALUE!</v>
      </c>
      <c r="F11" s="6" t="s">
        <v>30</v>
      </c>
      <c r="G11" s="5">
        <v>152</v>
      </c>
      <c r="H11" s="6" t="s">
        <v>30</v>
      </c>
      <c r="I11" s="5" t="s">
        <v>12</v>
      </c>
    </row>
    <row r="12" spans="1:9">
      <c r="A12" s="5">
        <v>11</v>
      </c>
      <c r="B12" s="5">
        <v>15050</v>
      </c>
      <c r="C12" s="5" t="s">
        <v>9</v>
      </c>
      <c r="D12" s="5" t="s">
        <v>31</v>
      </c>
      <c r="E12" s="5" t="e">
        <f>LOWER(Table57811121314[[#This Row],[Leage_Abbrivation_Winbets]]) &amp; "_" &amp; LOWER(Table57811121314[[#This Row],[Team_Abbrivation_Winbets]])</f>
        <v>#VALUE!</v>
      </c>
      <c r="F12" s="6" t="s">
        <v>32</v>
      </c>
      <c r="G12" s="5">
        <v>153</v>
      </c>
      <c r="H12" s="6" t="s">
        <v>32</v>
      </c>
      <c r="I12" s="5" t="s">
        <v>12</v>
      </c>
    </row>
    <row r="13" spans="1:9">
      <c r="A13" s="5">
        <v>12</v>
      </c>
      <c r="B13" s="5">
        <v>15050</v>
      </c>
      <c r="C13" s="5" t="s">
        <v>9</v>
      </c>
      <c r="D13" s="5" t="s">
        <v>33</v>
      </c>
      <c r="E13" s="5" t="e">
        <f>LOWER(Table57811121314[[#This Row],[Leage_Abbrivation_Winbets]]) &amp; "_" &amp; LOWER(Table57811121314[[#This Row],[Team_Abbrivation_Winbets]])</f>
        <v>#VALUE!</v>
      </c>
      <c r="F13" s="6" t="s">
        <v>34</v>
      </c>
      <c r="G13" s="5">
        <v>156</v>
      </c>
      <c r="H13" s="6" t="s">
        <v>34</v>
      </c>
      <c r="I13" s="5" t="s">
        <v>12</v>
      </c>
    </row>
    <row r="14" spans="1:9">
      <c r="A14" s="5">
        <v>13</v>
      </c>
      <c r="B14" s="5">
        <v>15050</v>
      </c>
      <c r="C14" s="5" t="s">
        <v>9</v>
      </c>
      <c r="D14" s="5" t="s">
        <v>35</v>
      </c>
      <c r="E14" s="5" t="e">
        <f>LOWER(Table57811121314[[#This Row],[Leage_Abbrivation_Winbets]]) &amp; "_" &amp; LOWER(Table57811121314[[#This Row],[Team_Abbrivation_Winbets]])</f>
        <v>#VALUE!</v>
      </c>
      <c r="F14" s="6" t="s">
        <v>36</v>
      </c>
      <c r="G14" s="5">
        <v>157</v>
      </c>
      <c r="H14" s="6" t="s">
        <v>36</v>
      </c>
      <c r="I14" s="5" t="s">
        <v>12</v>
      </c>
    </row>
    <row r="15" spans="1:9">
      <c r="A15" s="5">
        <v>14</v>
      </c>
      <c r="B15" s="5">
        <v>15050</v>
      </c>
      <c r="C15" s="5" t="s">
        <v>9</v>
      </c>
      <c r="D15" s="5" t="s">
        <v>37</v>
      </c>
      <c r="E15" s="5" t="e">
        <f>LOWER(Table57811121314[[#This Row],[Leage_Abbrivation_Winbets]]) &amp; "_" &amp; LOWER(Table57811121314[[#This Row],[Team_Abbrivation_Winbets]])</f>
        <v>#VALUE!</v>
      </c>
      <c r="F15" s="6" t="s">
        <v>38</v>
      </c>
      <c r="G15" s="5">
        <v>158</v>
      </c>
      <c r="H15" s="6" t="s">
        <v>38</v>
      </c>
      <c r="I15" s="5" t="s">
        <v>12</v>
      </c>
    </row>
    <row r="16" spans="1:9">
      <c r="A16" s="5">
        <v>15</v>
      </c>
      <c r="B16" s="5">
        <v>15050</v>
      </c>
      <c r="C16" s="5" t="s">
        <v>9</v>
      </c>
      <c r="D16" s="5" t="s">
        <v>39</v>
      </c>
      <c r="E16" s="5" t="e">
        <f>LOWER(Table57811121314[[#This Row],[Leage_Abbrivation_Winbets]]) &amp; "_" &amp; LOWER(Table57811121314[[#This Row],[Team_Abbrivation_Winbets]])</f>
        <v>#VALUE!</v>
      </c>
      <c r="F16" s="6" t="s">
        <v>40</v>
      </c>
      <c r="G16" s="5">
        <v>162</v>
      </c>
      <c r="H16" s="6" t="s">
        <v>40</v>
      </c>
      <c r="I16" s="5" t="s">
        <v>12</v>
      </c>
    </row>
    <row r="17" spans="1:9">
      <c r="A17" s="5">
        <v>16</v>
      </c>
      <c r="B17" s="5">
        <v>15050</v>
      </c>
      <c r="C17" s="5" t="s">
        <v>9</v>
      </c>
      <c r="D17" s="5" t="s">
        <v>41</v>
      </c>
      <c r="E17" s="5" t="e">
        <f>LOWER(Table57811121314[[#This Row],[Leage_Abbrivation_Winbets]]) &amp; "_" &amp; LOWER(Table57811121314[[#This Row],[Team_Abbrivation_Winbets]])</f>
        <v>#VALUE!</v>
      </c>
      <c r="F17" s="6" t="s">
        <v>42</v>
      </c>
      <c r="G17" s="5">
        <v>209</v>
      </c>
      <c r="H17" s="6" t="s">
        <v>42</v>
      </c>
      <c r="I17" s="5" t="s">
        <v>12</v>
      </c>
    </row>
    <row r="18" spans="1:9">
      <c r="A18" s="5">
        <v>17</v>
      </c>
      <c r="B18" s="5">
        <v>15050</v>
      </c>
      <c r="C18" s="5" t="s">
        <v>9</v>
      </c>
      <c r="D18" s="5" t="s">
        <v>43</v>
      </c>
      <c r="E18" s="5" t="e">
        <f>LOWER(Table57811121314[[#This Row],[Leage_Abbrivation_Winbets]]) &amp; "_" &amp; LOWER(Table57811121314[[#This Row],[Team_Abbrivation_Winbets]])</f>
        <v>#VALUE!</v>
      </c>
      <c r="F18" s="6" t="s">
        <v>44</v>
      </c>
      <c r="G18" s="5">
        <v>211</v>
      </c>
      <c r="H18" s="6" t="s">
        <v>44</v>
      </c>
      <c r="I18" s="5" t="s">
        <v>12</v>
      </c>
    </row>
    <row r="19" spans="1:9">
      <c r="A19" s="5">
        <v>18</v>
      </c>
      <c r="B19" s="5">
        <v>15050</v>
      </c>
      <c r="C19" s="5" t="s">
        <v>9</v>
      </c>
      <c r="D19" s="5" t="s">
        <v>45</v>
      </c>
      <c r="E19" s="5" t="e">
        <f>LOWER(Table57811121314[[#This Row],[Leage_Abbrivation_Winbets]]) &amp; "_" &amp; LOWER(Table57811121314[[#This Row],[Team_Abbrivation_Winbets]])</f>
        <v>#VALUE!</v>
      </c>
      <c r="F19" s="6" t="s">
        <v>46</v>
      </c>
      <c r="G19" s="5">
        <v>218</v>
      </c>
      <c r="H19" s="6" t="s">
        <v>46</v>
      </c>
      <c r="I19" s="5" t="s">
        <v>12</v>
      </c>
    </row>
    <row r="20" spans="1:9">
      <c r="A20" s="5">
        <v>19</v>
      </c>
      <c r="B20" s="5">
        <v>15050</v>
      </c>
      <c r="C20" s="5" t="s">
        <v>9</v>
      </c>
      <c r="D20" s="5" t="s">
        <v>47</v>
      </c>
      <c r="E20" s="5" t="e">
        <f>LOWER(Table57811121314[[#This Row],[Leage_Abbrivation_Winbets]]) &amp; "_" &amp; LOWER(Table57811121314[[#This Row],[Team_Abbrivation_Winbets]])</f>
        <v>#VALUE!</v>
      </c>
      <c r="F20" s="6" t="s">
        <v>48</v>
      </c>
      <c r="G20" s="5">
        <v>222</v>
      </c>
      <c r="H20" s="6" t="s">
        <v>48</v>
      </c>
      <c r="I20" s="5" t="s">
        <v>12</v>
      </c>
    </row>
    <row r="21" spans="1:9">
      <c r="A21" s="5">
        <v>20</v>
      </c>
      <c r="B21" s="5">
        <v>15050</v>
      </c>
      <c r="C21" s="5" t="s">
        <v>9</v>
      </c>
      <c r="D21" s="5" t="s">
        <v>49</v>
      </c>
      <c r="E21" s="5" t="e">
        <f>LOWER(Table57811121314[[#This Row],[Leage_Abbrivation_Winbets]]) &amp; "_" &amp; LOWER(Table57811121314[[#This Row],[Team_Abbrivation_Winbets]])</f>
        <v>#VALUE!</v>
      </c>
      <c r="F21" s="5" t="s">
        <v>50</v>
      </c>
      <c r="G21" s="5">
        <v>223</v>
      </c>
      <c r="H21" s="5" t="s">
        <v>50</v>
      </c>
      <c r="I21" s="5" t="s">
        <v>12</v>
      </c>
    </row>
    <row r="22" spans="1:9">
      <c r="A22" s="5">
        <v>1</v>
      </c>
      <c r="B22" s="5">
        <v>14956</v>
      </c>
      <c r="C22" s="5" t="s">
        <v>51</v>
      </c>
      <c r="D22" s="5" t="s">
        <v>52</v>
      </c>
      <c r="E22" s="5" t="e">
        <f>LOWER(Table57811121314[[#This Row],[Leage_Abbrivation_Winbets]]) &amp; "_" &amp; LOWER(Table57811121314[[#This Row],[Team_Abbrivation_Winbets]])</f>
        <v>#VALUE!</v>
      </c>
      <c r="F22" s="6" t="s">
        <v>53</v>
      </c>
      <c r="G22" s="5">
        <v>76</v>
      </c>
      <c r="H22" s="5" t="s">
        <v>53</v>
      </c>
      <c r="I22" s="5" t="s">
        <v>54</v>
      </c>
    </row>
    <row r="23" spans="1:9">
      <c r="A23" s="5">
        <v>2</v>
      </c>
      <c r="B23" s="5">
        <v>14956</v>
      </c>
      <c r="C23" s="5" t="s">
        <v>51</v>
      </c>
      <c r="D23" s="5" t="s">
        <v>55</v>
      </c>
      <c r="E23" s="5" t="e">
        <f>LOWER(Table57811121314[[#This Row],[Leage_Abbrivation_Winbets]]) &amp; "_" &amp; LOWER(Table57811121314[[#This Row],[Team_Abbrivation_Winbets]])</f>
        <v>#VALUE!</v>
      </c>
      <c r="F23" s="6" t="s">
        <v>56</v>
      </c>
      <c r="G23" s="5">
        <v>83</v>
      </c>
      <c r="H23" s="5" t="s">
        <v>57</v>
      </c>
      <c r="I23" s="5" t="s">
        <v>54</v>
      </c>
    </row>
    <row r="24" spans="1:9">
      <c r="A24" s="5">
        <v>3</v>
      </c>
      <c r="B24" s="5">
        <v>14956</v>
      </c>
      <c r="C24" s="5" t="s">
        <v>51</v>
      </c>
      <c r="D24" s="5" t="s">
        <v>58</v>
      </c>
      <c r="E24" s="5" t="e">
        <f>LOWER(Table57811121314[[#This Row],[Leage_Abbrivation_Winbets]]) &amp; "_" &amp; LOWER(Table57811121314[[#This Row],[Team_Abbrivation_Winbets]])</f>
        <v>#VALUE!</v>
      </c>
      <c r="F24" s="6" t="s">
        <v>59</v>
      </c>
      <c r="G24" s="5">
        <v>84</v>
      </c>
      <c r="H24" s="5" t="s">
        <v>59</v>
      </c>
      <c r="I24" s="5" t="s">
        <v>54</v>
      </c>
    </row>
    <row r="25" spans="1:9">
      <c r="A25" s="5">
        <v>4</v>
      </c>
      <c r="B25" s="5">
        <v>14956</v>
      </c>
      <c r="C25" s="5" t="s">
        <v>51</v>
      </c>
      <c r="D25" s="5" t="s">
        <v>60</v>
      </c>
      <c r="E25" s="5" t="e">
        <f>LOWER(Table57811121314[[#This Row],[Leage_Abbrivation_Winbets]]) &amp; "_" &amp; LOWER(Table57811121314[[#This Row],[Team_Abbrivation_Winbets]])</f>
        <v>#VALUE!</v>
      </c>
      <c r="F25" s="6" t="s">
        <v>61</v>
      </c>
      <c r="G25" s="5">
        <v>98</v>
      </c>
      <c r="H25" s="5" t="s">
        <v>62</v>
      </c>
      <c r="I25" s="5" t="s">
        <v>54</v>
      </c>
    </row>
    <row r="26" spans="1:9">
      <c r="A26" s="5">
        <v>5</v>
      </c>
      <c r="B26" s="5">
        <v>14956</v>
      </c>
      <c r="C26" s="5" t="s">
        <v>51</v>
      </c>
      <c r="D26" s="5" t="s">
        <v>63</v>
      </c>
      <c r="E26" s="5" t="e">
        <f>LOWER(Table57811121314[[#This Row],[Leage_Abbrivation_Winbets]]) &amp; "_" &amp; LOWER(Table57811121314[[#This Row],[Team_Abbrivation_Winbets]])</f>
        <v>#VALUE!</v>
      </c>
      <c r="F26" s="6" t="s">
        <v>64</v>
      </c>
      <c r="G26" s="5">
        <v>117</v>
      </c>
      <c r="H26" s="5" t="s">
        <v>64</v>
      </c>
      <c r="I26" s="5" t="s">
        <v>54</v>
      </c>
    </row>
    <row r="27" spans="1:9">
      <c r="A27" s="5">
        <v>6</v>
      </c>
      <c r="B27" s="5">
        <v>14956</v>
      </c>
      <c r="C27" s="5" t="s">
        <v>51</v>
      </c>
      <c r="D27" s="5" t="s">
        <v>65</v>
      </c>
      <c r="E27" s="5" t="e">
        <f>LOWER(Table57811121314[[#This Row],[Leage_Abbrivation_Winbets]]) &amp; "_" &amp; LOWER(Table57811121314[[#This Row],[Team_Abbrivation_Winbets]])</f>
        <v>#VALUE!</v>
      </c>
      <c r="F27" s="6" t="s">
        <v>66</v>
      </c>
      <c r="G27" s="5">
        <v>277</v>
      </c>
      <c r="H27" s="5" t="s">
        <v>67</v>
      </c>
      <c r="I27" s="5" t="s">
        <v>54</v>
      </c>
    </row>
    <row r="28" spans="1:9">
      <c r="A28" s="5">
        <v>7</v>
      </c>
      <c r="B28" s="5">
        <v>14956</v>
      </c>
      <c r="C28" s="5" t="s">
        <v>51</v>
      </c>
      <c r="D28" s="5" t="s">
        <v>68</v>
      </c>
      <c r="E28" s="5" t="e">
        <f>LOWER(Table57811121314[[#This Row],[Leage_Abbrivation_Winbets]]) &amp; "_" &amp; LOWER(Table57811121314[[#This Row],[Team_Abbrivation_Winbets]])</f>
        <v>#VALUE!</v>
      </c>
      <c r="F28" s="6" t="s">
        <v>69</v>
      </c>
      <c r="G28" s="5">
        <v>280</v>
      </c>
      <c r="H28" s="5" t="s">
        <v>70</v>
      </c>
      <c r="I28" s="5" t="s">
        <v>54</v>
      </c>
    </row>
    <row r="29" spans="1:9">
      <c r="A29" s="5">
        <v>8</v>
      </c>
      <c r="B29" s="5">
        <v>14956</v>
      </c>
      <c r="C29" s="5" t="s">
        <v>51</v>
      </c>
      <c r="D29" s="5" t="s">
        <v>71</v>
      </c>
      <c r="E29" s="5" t="e">
        <f>LOWER(Table57811121314[[#This Row],[Leage_Abbrivation_Winbets]]) &amp; "_" &amp; LOWER(Table57811121314[[#This Row],[Team_Abbrivation_Winbets]])</f>
        <v>#VALUE!</v>
      </c>
      <c r="F29" s="6" t="s">
        <v>72</v>
      </c>
      <c r="G29" s="5">
        <v>281</v>
      </c>
      <c r="H29" s="5" t="s">
        <v>73</v>
      </c>
      <c r="I29" s="5" t="s">
        <v>54</v>
      </c>
    </row>
    <row r="30" spans="1:9">
      <c r="A30" s="5">
        <v>9</v>
      </c>
      <c r="B30" s="5">
        <v>14956</v>
      </c>
      <c r="C30" s="5" t="s">
        <v>51</v>
      </c>
      <c r="D30" s="5" t="s">
        <v>74</v>
      </c>
      <c r="E30" s="5" t="e">
        <f>LOWER(Table57811121314[[#This Row],[Leage_Abbrivation_Winbets]]) &amp; "_" &amp; LOWER(Table57811121314[[#This Row],[Team_Abbrivation_Winbets]])</f>
        <v>#VALUE!</v>
      </c>
      <c r="F30" s="6" t="s">
        <v>75</v>
      </c>
      <c r="G30" s="5">
        <v>284</v>
      </c>
      <c r="H30" s="5" t="s">
        <v>75</v>
      </c>
      <c r="I30" s="5" t="s">
        <v>54</v>
      </c>
    </row>
    <row r="31" spans="1:9">
      <c r="A31" s="5">
        <v>10</v>
      </c>
      <c r="B31" s="5">
        <v>14956</v>
      </c>
      <c r="C31" s="5" t="s">
        <v>51</v>
      </c>
      <c r="D31" s="5" t="s">
        <v>76</v>
      </c>
      <c r="E31" s="5" t="e">
        <f>LOWER(Table57811121314[[#This Row],[Leage_Abbrivation_Winbets]]) &amp; "_" &amp; LOWER(Table57811121314[[#This Row],[Team_Abbrivation_Winbets]])</f>
        <v>#VALUE!</v>
      </c>
      <c r="F31" s="6" t="s">
        <v>77</v>
      </c>
      <c r="G31" s="5">
        <v>285</v>
      </c>
      <c r="H31" s="5" t="s">
        <v>78</v>
      </c>
      <c r="I31" s="5" t="s">
        <v>54</v>
      </c>
    </row>
    <row r="32" spans="1:9">
      <c r="A32" s="5">
        <v>11</v>
      </c>
      <c r="B32" s="5">
        <v>14956</v>
      </c>
      <c r="C32" s="5" t="s">
        <v>51</v>
      </c>
      <c r="D32" s="5" t="s">
        <v>79</v>
      </c>
      <c r="E32" s="5" t="e">
        <f>LOWER(Table57811121314[[#This Row],[Leage_Abbrivation_Winbets]]) &amp; "_" &amp; LOWER(Table57811121314[[#This Row],[Team_Abbrivation_Winbets]])</f>
        <v>#VALUE!</v>
      </c>
      <c r="F32" s="6" t="s">
        <v>80</v>
      </c>
      <c r="G32" s="5">
        <v>287</v>
      </c>
      <c r="H32" s="5" t="s">
        <v>81</v>
      </c>
      <c r="I32" s="5" t="s">
        <v>54</v>
      </c>
    </row>
    <row r="33" spans="1:9">
      <c r="A33" s="5">
        <v>12</v>
      </c>
      <c r="B33" s="5">
        <v>14956</v>
      </c>
      <c r="C33" s="5" t="s">
        <v>51</v>
      </c>
      <c r="D33" s="5" t="s">
        <v>82</v>
      </c>
      <c r="E33" s="5" t="e">
        <f>LOWER(Table57811121314[[#This Row],[Leage_Abbrivation_Winbets]]) &amp; "_" &amp; LOWER(Table57811121314[[#This Row],[Team_Abbrivation_Winbets]])</f>
        <v>#VALUE!</v>
      </c>
      <c r="F33" s="6" t="s">
        <v>83</v>
      </c>
      <c r="G33" s="5">
        <v>288</v>
      </c>
      <c r="H33" s="5" t="s">
        <v>84</v>
      </c>
      <c r="I33" s="5" t="s">
        <v>54</v>
      </c>
    </row>
    <row r="34" spans="1:9">
      <c r="A34" s="5">
        <v>13</v>
      </c>
      <c r="B34" s="5">
        <v>14956</v>
      </c>
      <c r="C34" s="5" t="s">
        <v>51</v>
      </c>
      <c r="D34" s="5" t="s">
        <v>85</v>
      </c>
      <c r="E34" s="5" t="e">
        <f>LOWER(Table57811121314[[#This Row],[Leage_Abbrivation_Winbets]]) &amp; "_" &amp; LOWER(Table57811121314[[#This Row],[Team_Abbrivation_Winbets]])</f>
        <v>#VALUE!</v>
      </c>
      <c r="F34" s="6" t="s">
        <v>86</v>
      </c>
      <c r="G34" s="5">
        <v>290</v>
      </c>
      <c r="H34" s="5" t="s">
        <v>86</v>
      </c>
      <c r="I34" s="5" t="s">
        <v>54</v>
      </c>
    </row>
    <row r="35" spans="1:9">
      <c r="A35" s="5">
        <v>14</v>
      </c>
      <c r="B35" s="5">
        <v>14956</v>
      </c>
      <c r="C35" s="5" t="s">
        <v>51</v>
      </c>
      <c r="D35" s="5" t="s">
        <v>87</v>
      </c>
      <c r="E35" s="5" t="e">
        <f>LOWER(Table57811121314[[#This Row],[Leage_Abbrivation_Winbets]]) &amp; "_" &amp; LOWER(Table57811121314[[#This Row],[Team_Abbrivation_Winbets]])</f>
        <v>#VALUE!</v>
      </c>
      <c r="F35" s="6" t="s">
        <v>88</v>
      </c>
      <c r="G35" s="5">
        <v>291</v>
      </c>
      <c r="H35" s="5" t="s">
        <v>88</v>
      </c>
      <c r="I35" s="5" t="s">
        <v>54</v>
      </c>
    </row>
    <row r="36" spans="1:9">
      <c r="A36" s="5">
        <v>15</v>
      </c>
      <c r="B36" s="5">
        <v>14956</v>
      </c>
      <c r="C36" s="5" t="s">
        <v>51</v>
      </c>
      <c r="D36" s="5" t="s">
        <v>89</v>
      </c>
      <c r="E36" s="5" t="e">
        <f>LOWER(Table57811121314[[#This Row],[Leage_Abbrivation_Winbets]]) &amp; "_" &amp; LOWER(Table57811121314[[#This Row],[Team_Abbrivation_Winbets]])</f>
        <v>#VALUE!</v>
      </c>
      <c r="F36" s="6" t="s">
        <v>90</v>
      </c>
      <c r="G36" s="5">
        <v>292</v>
      </c>
      <c r="H36" s="5" t="s">
        <v>91</v>
      </c>
      <c r="I36" s="5" t="s">
        <v>54</v>
      </c>
    </row>
    <row r="37" spans="1:9">
      <c r="A37" s="5">
        <v>16</v>
      </c>
      <c r="B37" s="5">
        <v>14956</v>
      </c>
      <c r="C37" s="5" t="s">
        <v>51</v>
      </c>
      <c r="D37" s="5" t="s">
        <v>92</v>
      </c>
      <c r="E37" s="5" t="e">
        <f>LOWER(Table57811121314[[#This Row],[Leage_Abbrivation_Winbets]]) &amp; "_" &amp; LOWER(Table57811121314[[#This Row],[Team_Abbrivation_Winbets]])</f>
        <v>#VALUE!</v>
      </c>
      <c r="F37" s="6" t="s">
        <v>93</v>
      </c>
      <c r="G37" s="5">
        <v>293</v>
      </c>
      <c r="H37" s="5" t="s">
        <v>94</v>
      </c>
      <c r="I37" s="5" t="s">
        <v>54</v>
      </c>
    </row>
    <row r="38" spans="1:9">
      <c r="A38" s="5">
        <v>17</v>
      </c>
      <c r="B38" s="5">
        <v>14956</v>
      </c>
      <c r="C38" s="5" t="s">
        <v>51</v>
      </c>
      <c r="D38" s="5" t="s">
        <v>95</v>
      </c>
      <c r="E38" s="5" t="e">
        <f>LOWER(Table57811121314[[#This Row],[Leage_Abbrivation_Winbets]]) &amp; "_" &amp; LOWER(Table57811121314[[#This Row],[Team_Abbrivation_Winbets]])</f>
        <v>#VALUE!</v>
      </c>
      <c r="F38" s="6" t="s">
        <v>96</v>
      </c>
      <c r="G38" s="5">
        <v>295</v>
      </c>
      <c r="H38" s="5" t="s">
        <v>97</v>
      </c>
      <c r="I38" s="5" t="s">
        <v>54</v>
      </c>
    </row>
    <row r="39" spans="1:9">
      <c r="A39" s="5">
        <v>18</v>
      </c>
      <c r="B39" s="5">
        <v>14956</v>
      </c>
      <c r="C39" s="5" t="s">
        <v>51</v>
      </c>
      <c r="D39" s="5" t="s">
        <v>98</v>
      </c>
      <c r="E39" s="5" t="e">
        <f>LOWER(Table57811121314[[#This Row],[Leage_Abbrivation_Winbets]]) &amp; "_" &amp; LOWER(Table57811121314[[#This Row],[Team_Abbrivation_Winbets]])</f>
        <v>#VALUE!</v>
      </c>
      <c r="F39" s="6" t="s">
        <v>99</v>
      </c>
      <c r="G39" s="5">
        <v>298</v>
      </c>
      <c r="H39" s="5" t="s">
        <v>100</v>
      </c>
      <c r="I39" s="5" t="s">
        <v>54</v>
      </c>
    </row>
    <row r="40" spans="1:9">
      <c r="A40" s="5">
        <v>19</v>
      </c>
      <c r="B40" s="5">
        <v>14956</v>
      </c>
      <c r="C40" s="5" t="s">
        <v>51</v>
      </c>
      <c r="D40" s="5" t="s">
        <v>101</v>
      </c>
      <c r="E40" s="5" t="e">
        <f>LOWER(Table57811121314[[#This Row],[Leage_Abbrivation_Winbets]]) &amp; "_" &amp; LOWER(Table57811121314[[#This Row],[Team_Abbrivation_Winbets]])</f>
        <v>#VALUE!</v>
      </c>
      <c r="F40" s="6" t="s">
        <v>102</v>
      </c>
      <c r="G40" s="5">
        <v>309</v>
      </c>
      <c r="H40" s="5" t="s">
        <v>102</v>
      </c>
      <c r="I40" s="5" t="s">
        <v>54</v>
      </c>
    </row>
    <row r="41" spans="1:9">
      <c r="A41" s="5">
        <v>20</v>
      </c>
      <c r="B41" s="5">
        <v>14956</v>
      </c>
      <c r="C41" s="5" t="s">
        <v>51</v>
      </c>
      <c r="D41" s="5" t="s">
        <v>103</v>
      </c>
      <c r="E41" s="5" t="e">
        <f>LOWER(Table57811121314[[#This Row],[Leage_Abbrivation_Winbets]]) &amp; "_" &amp; LOWER(Table57811121314[[#This Row],[Team_Abbrivation_Winbets]])</f>
        <v>#VALUE!</v>
      </c>
      <c r="F41" s="6" t="s">
        <v>104</v>
      </c>
      <c r="G41" s="5">
        <v>312</v>
      </c>
      <c r="H41" s="5" t="s">
        <v>105</v>
      </c>
      <c r="I41" s="5" t="s">
        <v>54</v>
      </c>
    </row>
    <row r="42" spans="1:9">
      <c r="A42" s="5">
        <v>1</v>
      </c>
      <c r="B42" s="5">
        <v>15068</v>
      </c>
      <c r="C42" s="5" t="s">
        <v>106</v>
      </c>
      <c r="D42" s="5" t="s">
        <v>107</v>
      </c>
      <c r="E42" s="5" t="e">
        <f>LOWER(Table57811121314[[#This Row],[Leage_Abbrivation_Winbets]]) &amp; "_" &amp; LOWER(Table57811121314[[#This Row],[Team_Abbrivation_Winbets]])</f>
        <v>#VALUE!</v>
      </c>
      <c r="F42" s="6" t="s">
        <v>108</v>
      </c>
      <c r="G42" s="5">
        <v>74</v>
      </c>
      <c r="H42" s="5" t="s">
        <v>108</v>
      </c>
      <c r="I42" s="5" t="s">
        <v>109</v>
      </c>
    </row>
    <row r="43" spans="1:9">
      <c r="A43" s="5">
        <v>2</v>
      </c>
      <c r="B43" s="5">
        <v>15068</v>
      </c>
      <c r="C43" s="5" t="s">
        <v>106</v>
      </c>
      <c r="D43" s="5" t="s">
        <v>110</v>
      </c>
      <c r="E43" s="5" t="e">
        <f>LOWER(Table57811121314[[#This Row],[Leage_Abbrivation_Winbets]]) &amp; "_" &amp; LOWER(Table57811121314[[#This Row],[Team_Abbrivation_Winbets]])</f>
        <v>#VALUE!</v>
      </c>
      <c r="F43" s="6" t="s">
        <v>111</v>
      </c>
      <c r="G43" s="5">
        <v>90</v>
      </c>
      <c r="H43" s="5" t="s">
        <v>111</v>
      </c>
      <c r="I43" s="5" t="s">
        <v>109</v>
      </c>
    </row>
    <row r="44" spans="1:9">
      <c r="A44" s="5">
        <v>3</v>
      </c>
      <c r="B44" s="5">
        <v>15068</v>
      </c>
      <c r="C44" s="5" t="s">
        <v>106</v>
      </c>
      <c r="D44" s="5" t="s">
        <v>112</v>
      </c>
      <c r="E44" s="5" t="e">
        <f>LOWER(Table57811121314[[#This Row],[Leage_Abbrivation_Winbets]]) &amp; "_" &amp; LOWER(Table57811121314[[#This Row],[Team_Abbrivation_Winbets]])</f>
        <v>#VALUE!</v>
      </c>
      <c r="F44" s="6" t="s">
        <v>113</v>
      </c>
      <c r="G44" s="5">
        <v>113</v>
      </c>
      <c r="H44" s="5" t="s">
        <v>113</v>
      </c>
      <c r="I44" s="5" t="s">
        <v>109</v>
      </c>
    </row>
    <row r="45" spans="1:9">
      <c r="A45" s="5">
        <v>4</v>
      </c>
      <c r="B45" s="5">
        <v>15068</v>
      </c>
      <c r="C45" s="5" t="s">
        <v>106</v>
      </c>
      <c r="D45" s="5" t="s">
        <v>114</v>
      </c>
      <c r="E45" s="5" t="e">
        <f>LOWER(Table57811121314[[#This Row],[Leage_Abbrivation_Winbets]]) &amp; "_" &amp; LOWER(Table57811121314[[#This Row],[Team_Abbrivation_Winbets]])</f>
        <v>#VALUE!</v>
      </c>
      <c r="F45" s="6" t="s">
        <v>115</v>
      </c>
      <c r="G45" s="5">
        <v>455</v>
      </c>
      <c r="H45" s="5" t="s">
        <v>115</v>
      </c>
      <c r="I45" s="5" t="s">
        <v>109</v>
      </c>
    </row>
    <row r="46" spans="1:9">
      <c r="A46" s="5">
        <v>5</v>
      </c>
      <c r="B46" s="5">
        <v>15068</v>
      </c>
      <c r="C46" s="5" t="s">
        <v>106</v>
      </c>
      <c r="D46" s="5" t="s">
        <v>116</v>
      </c>
      <c r="E46" s="5" t="e">
        <f>LOWER(Table57811121314[[#This Row],[Leage_Abbrivation_Winbets]]) &amp; "_" &amp; LOWER(Table57811121314[[#This Row],[Team_Abbrivation_Winbets]])</f>
        <v>#VALUE!</v>
      </c>
      <c r="F46" s="6" t="s">
        <v>117</v>
      </c>
      <c r="G46" s="5">
        <v>456</v>
      </c>
      <c r="H46" s="5" t="s">
        <v>117</v>
      </c>
      <c r="I46" s="5" t="s">
        <v>109</v>
      </c>
    </row>
    <row r="47" spans="1:9">
      <c r="A47" s="5">
        <v>6</v>
      </c>
      <c r="B47" s="5">
        <v>15068</v>
      </c>
      <c r="C47" s="5" t="s">
        <v>106</v>
      </c>
      <c r="D47" s="5" t="s">
        <v>118</v>
      </c>
      <c r="E47" s="5" t="e">
        <f>LOWER(Table57811121314[[#This Row],[Leage_Abbrivation_Winbets]]) &amp; "_" &amp; LOWER(Table57811121314[[#This Row],[Team_Abbrivation_Winbets]])</f>
        <v>#VALUE!</v>
      </c>
      <c r="F47" s="6" t="s">
        <v>119</v>
      </c>
      <c r="G47" s="5">
        <v>460</v>
      </c>
      <c r="H47" s="5" t="s">
        <v>119</v>
      </c>
      <c r="I47" s="5" t="s">
        <v>109</v>
      </c>
    </row>
    <row r="48" spans="1:9">
      <c r="A48" s="5">
        <v>7</v>
      </c>
      <c r="B48" s="5">
        <v>15068</v>
      </c>
      <c r="C48" s="5" t="s">
        <v>106</v>
      </c>
      <c r="D48" s="5" t="s">
        <v>120</v>
      </c>
      <c r="E48" s="5" t="e">
        <f>LOWER(Table57811121314[[#This Row],[Leage_Abbrivation_Winbets]]) &amp; "_" &amp; LOWER(Table57811121314[[#This Row],[Team_Abbrivation_Winbets]])</f>
        <v>#VALUE!</v>
      </c>
      <c r="F48" s="6" t="s">
        <v>121</v>
      </c>
      <c r="G48" s="5">
        <v>461</v>
      </c>
      <c r="H48" s="5" t="s">
        <v>121</v>
      </c>
      <c r="I48" s="5" t="s">
        <v>109</v>
      </c>
    </row>
    <row r="49" spans="1:9">
      <c r="A49" s="5">
        <v>8</v>
      </c>
      <c r="B49" s="5">
        <v>15068</v>
      </c>
      <c r="C49" s="5" t="s">
        <v>106</v>
      </c>
      <c r="D49" s="5" t="s">
        <v>122</v>
      </c>
      <c r="E49" s="5" t="e">
        <f>LOWER(Table57811121314[[#This Row],[Leage_Abbrivation_Winbets]]) &amp; "_" &amp; LOWER(Table57811121314[[#This Row],[Team_Abbrivation_Winbets]])</f>
        <v>#VALUE!</v>
      </c>
      <c r="F49" s="6" t="s">
        <v>123</v>
      </c>
      <c r="G49" s="5">
        <v>463</v>
      </c>
      <c r="H49" s="5" t="s">
        <v>123</v>
      </c>
      <c r="I49" s="5" t="s">
        <v>109</v>
      </c>
    </row>
    <row r="50" spans="1:9">
      <c r="A50" s="5">
        <v>9</v>
      </c>
      <c r="B50" s="5">
        <v>15068</v>
      </c>
      <c r="C50" s="5" t="s">
        <v>106</v>
      </c>
      <c r="D50" s="5" t="s">
        <v>124</v>
      </c>
      <c r="E50" s="5" t="e">
        <f>LOWER(Table57811121314[[#This Row],[Leage_Abbrivation_Winbets]]) &amp; "_" &amp; LOWER(Table57811121314[[#This Row],[Team_Abbrivation_Winbets]])</f>
        <v>#VALUE!</v>
      </c>
      <c r="F50" s="6" t="s">
        <v>125</v>
      </c>
      <c r="G50" s="5">
        <v>467</v>
      </c>
      <c r="H50" s="5" t="s">
        <v>125</v>
      </c>
      <c r="I50" s="5" t="s">
        <v>109</v>
      </c>
    </row>
    <row r="51" spans="1:9">
      <c r="A51" s="5">
        <v>10</v>
      </c>
      <c r="B51" s="5">
        <v>15068</v>
      </c>
      <c r="C51" s="5" t="s">
        <v>106</v>
      </c>
      <c r="D51" s="5" t="s">
        <v>126</v>
      </c>
      <c r="E51" s="5" t="e">
        <f>LOWER(Table57811121314[[#This Row],[Leage_Abbrivation_Winbets]]) &amp; "_" &amp; LOWER(Table57811121314[[#This Row],[Team_Abbrivation_Winbets]])</f>
        <v>#VALUE!</v>
      </c>
      <c r="F51" s="6" t="s">
        <v>127</v>
      </c>
      <c r="G51" s="5">
        <v>469</v>
      </c>
      <c r="H51" s="5" t="s">
        <v>127</v>
      </c>
      <c r="I51" s="5" t="s">
        <v>109</v>
      </c>
    </row>
    <row r="52" spans="1:9">
      <c r="A52" s="5">
        <v>11</v>
      </c>
      <c r="B52" s="5">
        <v>15068</v>
      </c>
      <c r="C52" s="5" t="s">
        <v>106</v>
      </c>
      <c r="D52" s="5" t="s">
        <v>120</v>
      </c>
      <c r="E52" s="5" t="e">
        <f>LOWER(Table57811121314[[#This Row],[Leage_Abbrivation_Winbets]]) &amp; "_" &amp; LOWER(Table57811121314[[#This Row],[Team_Abbrivation_Winbets]])</f>
        <v>#VALUE!</v>
      </c>
      <c r="F52" s="6" t="s">
        <v>121</v>
      </c>
      <c r="G52" s="5">
        <v>470</v>
      </c>
      <c r="H52" s="5" t="s">
        <v>128</v>
      </c>
      <c r="I52" s="5" t="s">
        <v>109</v>
      </c>
    </row>
    <row r="53" spans="1:9">
      <c r="A53" s="5">
        <v>12</v>
      </c>
      <c r="B53" s="5">
        <v>15068</v>
      </c>
      <c r="C53" s="5" t="s">
        <v>106</v>
      </c>
      <c r="D53" s="5" t="s">
        <v>129</v>
      </c>
      <c r="E53" s="5" t="e">
        <f>LOWER(Table57811121314[[#This Row],[Leage_Abbrivation_Winbets]]) &amp; "_" &amp; LOWER(Table57811121314[[#This Row],[Team_Abbrivation_Winbets]])</f>
        <v>#VALUE!</v>
      </c>
      <c r="F53" s="6" t="s">
        <v>130</v>
      </c>
      <c r="G53" s="5">
        <v>471</v>
      </c>
      <c r="H53" s="5" t="s">
        <v>130</v>
      </c>
      <c r="I53" s="5" t="s">
        <v>109</v>
      </c>
    </row>
    <row r="54" spans="1:9">
      <c r="A54" s="5">
        <v>13</v>
      </c>
      <c r="B54" s="5">
        <v>15068</v>
      </c>
      <c r="C54" s="5" t="s">
        <v>106</v>
      </c>
      <c r="D54" s="5" t="s">
        <v>131</v>
      </c>
      <c r="E54" s="5" t="e">
        <f>LOWER(Table57811121314[[#This Row],[Leage_Abbrivation_Winbets]]) &amp; "_" &amp; LOWER(Table57811121314[[#This Row],[Team_Abbrivation_Winbets]])</f>
        <v>#VALUE!</v>
      </c>
      <c r="F54" s="6" t="s">
        <v>132</v>
      </c>
      <c r="G54" s="5">
        <v>476</v>
      </c>
      <c r="H54" s="5" t="s">
        <v>132</v>
      </c>
      <c r="I54" s="5" t="s">
        <v>109</v>
      </c>
    </row>
    <row r="55" spans="1:9">
      <c r="A55" s="5">
        <v>14</v>
      </c>
      <c r="B55" s="5">
        <v>15068</v>
      </c>
      <c r="C55" s="5" t="s">
        <v>106</v>
      </c>
      <c r="D55" s="5" t="s">
        <v>133</v>
      </c>
      <c r="E55" s="5" t="e">
        <f>LOWER(Table57811121314[[#This Row],[Leage_Abbrivation_Winbets]]) &amp; "_" &amp; LOWER(Table57811121314[[#This Row],[Team_Abbrivation_Winbets]])</f>
        <v>#VALUE!</v>
      </c>
      <c r="F55" s="6" t="s">
        <v>134</v>
      </c>
      <c r="G55" s="5">
        <v>507</v>
      </c>
      <c r="H55" s="5" t="s">
        <v>134</v>
      </c>
      <c r="I55" s="5" t="s">
        <v>109</v>
      </c>
    </row>
    <row r="56" spans="1:9">
      <c r="A56" s="5">
        <v>15</v>
      </c>
      <c r="B56" s="5">
        <v>15068</v>
      </c>
      <c r="C56" s="5" t="s">
        <v>106</v>
      </c>
      <c r="D56" s="5" t="s">
        <v>135</v>
      </c>
      <c r="E56" s="5" t="e">
        <f>LOWER(Table57811121314[[#This Row],[Leage_Abbrivation_Winbets]]) &amp; "_" &amp; LOWER(Table57811121314[[#This Row],[Team_Abbrivation_Winbets]])</f>
        <v>#VALUE!</v>
      </c>
      <c r="F56" s="6" t="s">
        <v>136</v>
      </c>
      <c r="G56" s="5">
        <v>1046</v>
      </c>
      <c r="H56" s="5" t="s">
        <v>136</v>
      </c>
      <c r="I56" s="5" t="s">
        <v>109</v>
      </c>
    </row>
    <row r="57" spans="1:9">
      <c r="A57" s="5">
        <v>16</v>
      </c>
      <c r="B57" s="5">
        <v>15068</v>
      </c>
      <c r="C57" s="5" t="s">
        <v>106</v>
      </c>
      <c r="D57" s="5" t="s">
        <v>137</v>
      </c>
      <c r="E57" s="5" t="e">
        <f>LOWER(Table57811121314[[#This Row],[Leage_Abbrivation_Winbets]]) &amp; "_" &amp; LOWER(Table57811121314[[#This Row],[Team_Abbrivation_Winbets]])</f>
        <v>#VALUE!</v>
      </c>
      <c r="F57" s="6" t="s">
        <v>138</v>
      </c>
      <c r="G57" s="5">
        <v>464</v>
      </c>
      <c r="H57" s="5" t="s">
        <v>138</v>
      </c>
      <c r="I57" s="5" t="s">
        <v>109</v>
      </c>
    </row>
    <row r="58" spans="1:9">
      <c r="A58" s="5">
        <v>17</v>
      </c>
      <c r="B58" s="5">
        <v>15068</v>
      </c>
      <c r="C58" s="5" t="s">
        <v>106</v>
      </c>
      <c r="D58" s="5" t="s">
        <v>139</v>
      </c>
      <c r="E58" s="5" t="e">
        <f>LOWER(Table57811121314[[#This Row],[Leage_Abbrivation_Winbets]]) &amp; "_" &amp; LOWER(Table57811121314[[#This Row],[Team_Abbrivation_Winbets]])</f>
        <v>#VALUE!</v>
      </c>
      <c r="F58" s="6" t="s">
        <v>140</v>
      </c>
      <c r="G58" s="5">
        <v>466</v>
      </c>
      <c r="H58" s="5" t="s">
        <v>140</v>
      </c>
      <c r="I58" s="5" t="s">
        <v>109</v>
      </c>
    </row>
    <row r="59" spans="1:9">
      <c r="A59" s="5">
        <v>18</v>
      </c>
      <c r="B59" s="5">
        <v>15068</v>
      </c>
      <c r="C59" s="5" t="s">
        <v>106</v>
      </c>
      <c r="D59" s="5" t="s">
        <v>141</v>
      </c>
      <c r="E59" s="5" t="e">
        <f>LOWER(Table57811121314[[#This Row],[Leage_Abbrivation_Winbets]]) &amp; "_" &amp; LOWER(Table57811121314[[#This Row],[Team_Abbrivation_Winbets]])</f>
        <v>#VALUE!</v>
      </c>
      <c r="F59" s="6" t="s">
        <v>142</v>
      </c>
      <c r="G59" s="5">
        <v>473</v>
      </c>
      <c r="H59" s="5" t="s">
        <v>142</v>
      </c>
      <c r="I59" s="5" t="s">
        <v>109</v>
      </c>
    </row>
    <row r="60" spans="1:9">
      <c r="A60" s="5">
        <v>19</v>
      </c>
      <c r="B60" s="5">
        <v>15068</v>
      </c>
      <c r="C60" s="5" t="s">
        <v>106</v>
      </c>
      <c r="D60" s="5" t="s">
        <v>143</v>
      </c>
      <c r="E60" s="5" t="e">
        <f>LOWER(Table57811121314[[#This Row],[Leage_Abbrivation_Winbets]]) &amp; "_" &amp; LOWER(Table57811121314[[#This Row],[Team_Abbrivation_Winbets]])</f>
        <v>#VALUE!</v>
      </c>
      <c r="F60" s="6" t="s">
        <v>144</v>
      </c>
      <c r="G60" s="5">
        <v>518</v>
      </c>
      <c r="H60" s="5" t="s">
        <v>144</v>
      </c>
      <c r="I60" s="5" t="s">
        <v>109</v>
      </c>
    </row>
    <row r="61" spans="1:9">
      <c r="A61" s="5">
        <v>20</v>
      </c>
      <c r="B61" s="5">
        <v>15068</v>
      </c>
      <c r="C61" s="5" t="s">
        <v>106</v>
      </c>
      <c r="D61" s="5" t="s">
        <v>145</v>
      </c>
      <c r="E61" s="5" t="e">
        <f>LOWER(Table57811121314[[#This Row],[Leage_Abbrivation_Winbets]]) &amp; "_" &amp; LOWER(Table57811121314[[#This Row],[Team_Abbrivation_Winbets]])</f>
        <v>#VALUE!</v>
      </c>
      <c r="F61" s="6" t="s">
        <v>146</v>
      </c>
      <c r="G61" s="5">
        <v>2330</v>
      </c>
      <c r="H61" s="5" t="s">
        <v>146</v>
      </c>
      <c r="I61" s="5" t="s">
        <v>109</v>
      </c>
    </row>
    <row r="62" spans="1:9">
      <c r="A62" s="20">
        <v>1</v>
      </c>
      <c r="B62" s="5">
        <v>14968</v>
      </c>
      <c r="C62" s="5" t="s">
        <v>147</v>
      </c>
      <c r="D62" s="5" t="s">
        <v>148</v>
      </c>
      <c r="E62" s="5" t="e">
        <f>LOWER(Table57811121314[[#This Row],[Leage_Abbrivation_Winbets]]) &amp; "_" &amp; LOWER(Table57811121314[[#This Row],[Team_Abbrivation_Winbets]])</f>
        <v>#VALUE!</v>
      </c>
      <c r="F62" s="6" t="s">
        <v>149</v>
      </c>
      <c r="G62" s="5">
        <v>33</v>
      </c>
      <c r="H62" s="5" t="s">
        <v>149</v>
      </c>
      <c r="I62" s="5" t="s">
        <v>150</v>
      </c>
    </row>
    <row r="63" spans="1:9">
      <c r="A63" s="21">
        <v>2</v>
      </c>
      <c r="B63" s="5">
        <v>14968</v>
      </c>
      <c r="C63" s="5" t="s">
        <v>147</v>
      </c>
      <c r="D63" s="5" t="s">
        <v>151</v>
      </c>
      <c r="E63" s="5" t="e">
        <f>LOWER(Table57811121314[[#This Row],[Leage_Abbrivation_Winbets]]) &amp; "_" &amp; LOWER(Table57811121314[[#This Row],[Team_Abbrivation_Winbets]])</f>
        <v>#VALUE!</v>
      </c>
      <c r="F63" s="6" t="s">
        <v>152</v>
      </c>
      <c r="G63" s="5">
        <v>34</v>
      </c>
      <c r="H63" s="5" t="s">
        <v>153</v>
      </c>
      <c r="I63" s="5" t="s">
        <v>150</v>
      </c>
    </row>
    <row r="64" spans="1:9">
      <c r="A64" s="20">
        <v>3</v>
      </c>
      <c r="B64" s="5">
        <v>14968</v>
      </c>
      <c r="C64" s="5" t="s">
        <v>147</v>
      </c>
      <c r="D64" s="5" t="s">
        <v>154</v>
      </c>
      <c r="E64" s="5" t="e">
        <f>LOWER(Table57811121314[[#This Row],[Leage_Abbrivation_Winbets]]) &amp; "_" &amp; LOWER(Table57811121314[[#This Row],[Team_Abbrivation_Winbets]])</f>
        <v>#VALUE!</v>
      </c>
      <c r="F64" s="6" t="s">
        <v>155</v>
      </c>
      <c r="G64" s="5">
        <v>36</v>
      </c>
      <c r="H64" s="5" t="s">
        <v>155</v>
      </c>
      <c r="I64" s="5" t="s">
        <v>150</v>
      </c>
    </row>
    <row r="65" spans="1:9">
      <c r="A65" s="21">
        <v>4</v>
      </c>
      <c r="B65" s="5">
        <v>14968</v>
      </c>
      <c r="C65" s="5" t="s">
        <v>147</v>
      </c>
      <c r="D65" s="5" t="s">
        <v>156</v>
      </c>
      <c r="E65" s="5" t="e">
        <f>LOWER(Table57811121314[[#This Row],[Leage_Abbrivation_Winbets]]) &amp; "_" &amp; LOWER(Table57811121314[[#This Row],[Team_Abbrivation_Winbets]])</f>
        <v>#VALUE!</v>
      </c>
      <c r="F65" s="6" t="s">
        <v>157</v>
      </c>
      <c r="G65" s="5">
        <v>37</v>
      </c>
      <c r="H65" s="5" t="s">
        <v>157</v>
      </c>
      <c r="I65" s="5" t="s">
        <v>150</v>
      </c>
    </row>
    <row r="66" spans="1:9">
      <c r="A66" s="20">
        <v>5</v>
      </c>
      <c r="B66" s="5">
        <v>14968</v>
      </c>
      <c r="C66" s="5" t="s">
        <v>147</v>
      </c>
      <c r="D66" s="5" t="s">
        <v>158</v>
      </c>
      <c r="E66" s="5" t="e">
        <f>LOWER(Table57811121314[[#This Row],[Leage_Abbrivation_Winbets]]) &amp; "_" &amp; LOWER(Table57811121314[[#This Row],[Team_Abbrivation_Winbets]])</f>
        <v>#VALUE!</v>
      </c>
      <c r="F66" s="6" t="s">
        <v>159</v>
      </c>
      <c r="G66" s="5">
        <v>38</v>
      </c>
      <c r="H66" s="5" t="s">
        <v>160</v>
      </c>
      <c r="I66" s="5" t="s">
        <v>150</v>
      </c>
    </row>
    <row r="67" spans="1:9">
      <c r="A67" s="21">
        <v>6</v>
      </c>
      <c r="B67" s="5">
        <v>14968</v>
      </c>
      <c r="C67" s="5" t="s">
        <v>147</v>
      </c>
      <c r="D67" s="5" t="s">
        <v>161</v>
      </c>
      <c r="E67" s="5" t="e">
        <f>LOWER(Table57811121314[[#This Row],[Leage_Abbrivation_Winbets]]) &amp; "_" &amp; LOWER(Table57811121314[[#This Row],[Team_Abbrivation_Winbets]])</f>
        <v>#VALUE!</v>
      </c>
      <c r="F67" s="6" t="s">
        <v>162</v>
      </c>
      <c r="G67" s="5">
        <v>39</v>
      </c>
      <c r="H67" s="5" t="s">
        <v>162</v>
      </c>
      <c r="I67" s="5" t="s">
        <v>150</v>
      </c>
    </row>
    <row r="68" spans="1:9">
      <c r="A68" s="20">
        <v>7</v>
      </c>
      <c r="B68" s="5">
        <v>14968</v>
      </c>
      <c r="C68" s="5" t="s">
        <v>147</v>
      </c>
      <c r="D68" s="5" t="s">
        <v>163</v>
      </c>
      <c r="E68" s="5" t="e">
        <f>LOWER(Table57811121314[[#This Row],[Leage_Abbrivation_Winbets]]) &amp; "_" &amp; LOWER(Table57811121314[[#This Row],[Team_Abbrivation_Winbets]])</f>
        <v>#VALUE!</v>
      </c>
      <c r="F68" s="6" t="s">
        <v>164</v>
      </c>
      <c r="G68" s="5">
        <v>40</v>
      </c>
      <c r="H68" s="5" t="s">
        <v>164</v>
      </c>
      <c r="I68" s="5" t="s">
        <v>150</v>
      </c>
    </row>
    <row r="69" spans="1:9">
      <c r="A69" s="21">
        <v>8</v>
      </c>
      <c r="B69" s="5">
        <v>14968</v>
      </c>
      <c r="C69" s="5" t="s">
        <v>147</v>
      </c>
      <c r="D69" s="5" t="s">
        <v>165</v>
      </c>
      <c r="E69" s="5" t="e">
        <f>LOWER(Table57811121314[[#This Row],[Leage_Abbrivation_Winbets]]) &amp; "_" &amp; LOWER(Table57811121314[[#This Row],[Team_Abbrivation_Winbets]])</f>
        <v>#VALUE!</v>
      </c>
      <c r="F69" s="6" t="s">
        <v>166</v>
      </c>
      <c r="G69" s="5">
        <v>41</v>
      </c>
      <c r="H69" s="5" t="s">
        <v>167</v>
      </c>
      <c r="I69" s="5" t="s">
        <v>150</v>
      </c>
    </row>
    <row r="70" spans="1:9">
      <c r="A70" s="20">
        <v>9</v>
      </c>
      <c r="B70" s="5">
        <v>14968</v>
      </c>
      <c r="C70" s="5" t="s">
        <v>147</v>
      </c>
      <c r="D70" s="5" t="s">
        <v>168</v>
      </c>
      <c r="E70" s="5" t="e">
        <f>LOWER(Table57811121314[[#This Row],[Leage_Abbrivation_Winbets]]) &amp; "_" &amp; LOWER(Table57811121314[[#This Row],[Team_Abbrivation_Winbets]])</f>
        <v>#VALUE!</v>
      </c>
      <c r="F70" s="6" t="s">
        <v>169</v>
      </c>
      <c r="G70" s="5">
        <v>42</v>
      </c>
      <c r="H70" s="5" t="s">
        <v>170</v>
      </c>
      <c r="I70" s="5" t="s">
        <v>150</v>
      </c>
    </row>
    <row r="71" spans="1:9">
      <c r="A71" s="21">
        <v>10</v>
      </c>
      <c r="B71" s="5">
        <v>14968</v>
      </c>
      <c r="C71" s="5" t="s">
        <v>147</v>
      </c>
      <c r="D71" s="5" t="s">
        <v>171</v>
      </c>
      <c r="E71" s="5" t="e">
        <f>LOWER(Table57811121314[[#This Row],[Leage_Abbrivation_Winbets]]) &amp; "_" &amp; LOWER(Table57811121314[[#This Row],[Team_Abbrivation_Winbets]])</f>
        <v>#VALUE!</v>
      </c>
      <c r="F71" s="6" t="s">
        <v>172</v>
      </c>
      <c r="G71" s="5">
        <v>43</v>
      </c>
      <c r="H71" s="5" t="s">
        <v>173</v>
      </c>
      <c r="I71" s="5" t="s">
        <v>150</v>
      </c>
    </row>
    <row r="72" spans="1:9">
      <c r="A72" s="20">
        <v>11</v>
      </c>
      <c r="B72" s="5">
        <v>14968</v>
      </c>
      <c r="C72" s="5" t="s">
        <v>147</v>
      </c>
      <c r="D72" s="5" t="s">
        <v>174</v>
      </c>
      <c r="E72" s="5" t="e">
        <f>LOWER(Table57811121314[[#This Row],[Leage_Abbrivation_Winbets]]) &amp; "_" &amp; LOWER(Table57811121314[[#This Row],[Team_Abbrivation_Winbets]])</f>
        <v>#VALUE!</v>
      </c>
      <c r="F72" s="6" t="s">
        <v>175</v>
      </c>
      <c r="G72" s="5">
        <v>44</v>
      </c>
      <c r="H72" s="5" t="s">
        <v>175</v>
      </c>
      <c r="I72" s="5" t="s">
        <v>150</v>
      </c>
    </row>
    <row r="73" spans="1:9">
      <c r="A73" s="21">
        <v>12</v>
      </c>
      <c r="B73" s="5">
        <v>14968</v>
      </c>
      <c r="C73" s="5" t="s">
        <v>147</v>
      </c>
      <c r="D73" s="5" t="s">
        <v>176</v>
      </c>
      <c r="E73" s="5" t="e">
        <f>LOWER(Table57811121314[[#This Row],[Leage_Abbrivation_Winbets]]) &amp; "_" &amp; LOWER(Table57811121314[[#This Row],[Team_Abbrivation_Winbets]])</f>
        <v>#VALUE!</v>
      </c>
      <c r="F73" s="6" t="s">
        <v>177</v>
      </c>
      <c r="G73" s="5">
        <v>46</v>
      </c>
      <c r="H73" s="5" t="s">
        <v>177</v>
      </c>
      <c r="I73" s="5" t="s">
        <v>150</v>
      </c>
    </row>
    <row r="74" spans="1:9">
      <c r="A74" s="20">
        <v>13</v>
      </c>
      <c r="B74" s="5">
        <v>14968</v>
      </c>
      <c r="C74" s="5" t="s">
        <v>147</v>
      </c>
      <c r="D74" s="5" t="s">
        <v>178</v>
      </c>
      <c r="E74" s="5" t="e">
        <f>LOWER(Table57811121314[[#This Row],[Leage_Abbrivation_Winbets]]) &amp; "_" &amp; LOWER(Table57811121314[[#This Row],[Team_Abbrivation_Winbets]])</f>
        <v>#VALUE!</v>
      </c>
      <c r="F74" s="6" t="s">
        <v>179</v>
      </c>
      <c r="G74" s="5">
        <v>49</v>
      </c>
      <c r="H74" s="5" t="s">
        <v>180</v>
      </c>
      <c r="I74" s="5" t="s">
        <v>150</v>
      </c>
    </row>
    <row r="75" spans="1:9">
      <c r="A75" s="21">
        <v>14</v>
      </c>
      <c r="B75" s="5">
        <v>14968</v>
      </c>
      <c r="C75" s="5" t="s">
        <v>147</v>
      </c>
      <c r="D75" s="5" t="s">
        <v>181</v>
      </c>
      <c r="E75" s="5" t="e">
        <f>LOWER(Table57811121314[[#This Row],[Leage_Abbrivation_Winbets]]) &amp; "_" &amp; LOWER(Table57811121314[[#This Row],[Team_Abbrivation_Winbets]])</f>
        <v>#VALUE!</v>
      </c>
      <c r="F75" s="6" t="s">
        <v>182</v>
      </c>
      <c r="G75" s="5">
        <v>50</v>
      </c>
      <c r="H75" s="5" t="s">
        <v>183</v>
      </c>
      <c r="I75" s="5" t="s">
        <v>150</v>
      </c>
    </row>
    <row r="76" spans="1:9">
      <c r="A76" s="20">
        <v>15</v>
      </c>
      <c r="B76" s="5">
        <v>14968</v>
      </c>
      <c r="C76" s="5" t="s">
        <v>147</v>
      </c>
      <c r="D76" s="5" t="s">
        <v>184</v>
      </c>
      <c r="E76" s="5" t="e">
        <f>LOWER(Table57811121314[[#This Row],[Leage_Abbrivation_Winbets]]) &amp; "_" &amp; LOWER(Table57811121314[[#This Row],[Team_Abbrivation_Winbets]])</f>
        <v>#VALUE!</v>
      </c>
      <c r="F76" s="6" t="s">
        <v>185</v>
      </c>
      <c r="G76" s="5">
        <v>51</v>
      </c>
      <c r="H76" s="5" t="s">
        <v>186</v>
      </c>
      <c r="I76" s="5" t="s">
        <v>150</v>
      </c>
    </row>
    <row r="77" spans="1:9">
      <c r="A77" s="21">
        <v>16</v>
      </c>
      <c r="B77" s="5">
        <v>14968</v>
      </c>
      <c r="C77" s="5" t="s">
        <v>147</v>
      </c>
      <c r="D77" s="5" t="s">
        <v>187</v>
      </c>
      <c r="E77" s="5" t="e">
        <f>LOWER(Table57811121314[[#This Row],[Leage_Abbrivation_Winbets]]) &amp; "_" &amp; LOWER(Table57811121314[[#This Row],[Team_Abbrivation_Winbets]])</f>
        <v>#VALUE!</v>
      </c>
      <c r="F77" s="6" t="s">
        <v>188</v>
      </c>
      <c r="G77" s="5">
        <v>541</v>
      </c>
      <c r="H77" s="5" t="s">
        <v>189</v>
      </c>
      <c r="I77" s="5" t="s">
        <v>150</v>
      </c>
    </row>
    <row r="78" spans="1:9">
      <c r="A78" s="20">
        <v>17</v>
      </c>
      <c r="B78" s="5">
        <v>14968</v>
      </c>
      <c r="C78" s="5" t="s">
        <v>147</v>
      </c>
      <c r="D78" s="5" t="s">
        <v>190</v>
      </c>
      <c r="E78" s="5" t="e">
        <f>LOWER(Table57811121314[[#This Row],[Leage_Abbrivation_Winbets]]) &amp; "_" &amp; LOWER(Table57811121314[[#This Row],[Team_Abbrivation_Winbets]])</f>
        <v>#VALUE!</v>
      </c>
      <c r="F78" s="6" t="s">
        <v>191</v>
      </c>
      <c r="G78" s="5">
        <v>548</v>
      </c>
      <c r="H78" s="5" t="s">
        <v>191</v>
      </c>
      <c r="I78" s="5" t="s">
        <v>150</v>
      </c>
    </row>
    <row r="79" spans="1:9">
      <c r="A79" s="22">
        <v>18</v>
      </c>
      <c r="B79" s="5">
        <v>14968</v>
      </c>
      <c r="C79" s="5" t="s">
        <v>147</v>
      </c>
      <c r="D79" s="5" t="s">
        <v>192</v>
      </c>
      <c r="E79" s="5" t="e">
        <f>LOWER(Table57811121314[[#This Row],[Leage_Abbrivation_Winbets]]) &amp; "_" &amp; LOWER(Table57811121314[[#This Row],[Team_Abbrivation_Winbets]])</f>
        <v>#VALUE!</v>
      </c>
      <c r="F79" s="6" t="s">
        <v>193</v>
      </c>
      <c r="G79" s="5">
        <v>552</v>
      </c>
      <c r="H79" s="5" t="s">
        <v>194</v>
      </c>
      <c r="I79" s="5" t="s">
        <v>150</v>
      </c>
    </row>
    <row r="80" spans="1:9">
      <c r="A80" s="20">
        <v>1</v>
      </c>
      <c r="B80" s="5">
        <v>13973</v>
      </c>
      <c r="C80" s="5" t="s">
        <v>195</v>
      </c>
      <c r="D80" s="5" t="s">
        <v>196</v>
      </c>
      <c r="E80" s="5" t="e">
        <f>LOWER(Table57811121314[[#This Row],[Leage_Abbrivation_Winbets]]) &amp; "_" &amp; LOWER(Table57811121314[[#This Row],[Team_Abbrivation_Winbets]])</f>
        <v>#VALUE!</v>
      </c>
      <c r="F80" s="6" t="s">
        <v>197</v>
      </c>
      <c r="G80" s="5">
        <v>1</v>
      </c>
      <c r="H80" s="5" t="s">
        <v>198</v>
      </c>
      <c r="I80" s="5" t="s">
        <v>199</v>
      </c>
    </row>
    <row r="81" spans="1:9">
      <c r="A81" s="21">
        <v>2</v>
      </c>
      <c r="B81" s="5">
        <v>13973</v>
      </c>
      <c r="C81" s="5" t="s">
        <v>195</v>
      </c>
      <c r="D81" s="5" t="s">
        <v>200</v>
      </c>
      <c r="E81" s="5" t="e">
        <f>LOWER(Table57811121314[[#This Row],[Leage_Abbrivation_Winbets]]) &amp; "_" &amp; LOWER(Table57811121314[[#This Row],[Team_Abbrivation_Winbets]])</f>
        <v>#VALUE!</v>
      </c>
      <c r="F81" s="6" t="s">
        <v>201</v>
      </c>
      <c r="G81" s="5">
        <v>2</v>
      </c>
      <c r="H81" s="5" t="s">
        <v>202</v>
      </c>
      <c r="I81" s="5" t="s">
        <v>199</v>
      </c>
    </row>
    <row r="82" spans="1:9">
      <c r="A82" s="20">
        <v>3</v>
      </c>
      <c r="B82" s="5">
        <v>13973</v>
      </c>
      <c r="C82" s="5" t="s">
        <v>195</v>
      </c>
      <c r="D82" s="5" t="s">
        <v>203</v>
      </c>
      <c r="E82" s="5" t="e">
        <f>LOWER(Table57811121314[[#This Row],[Leage_Abbrivation_Winbets]]) &amp; "_" &amp; LOWER(Table57811121314[[#This Row],[Team_Abbrivation_Winbets]])</f>
        <v>#VALUE!</v>
      </c>
      <c r="F82" s="6" t="s">
        <v>204</v>
      </c>
      <c r="G82" s="5">
        <v>4</v>
      </c>
      <c r="H82" s="5" t="s">
        <v>205</v>
      </c>
      <c r="I82" s="5" t="s">
        <v>199</v>
      </c>
    </row>
    <row r="83" spans="1:9">
      <c r="A83" s="21">
        <v>4</v>
      </c>
      <c r="B83" s="5">
        <v>13973</v>
      </c>
      <c r="C83" s="5" t="s">
        <v>195</v>
      </c>
      <c r="D83" s="5" t="s">
        <v>206</v>
      </c>
      <c r="E83" s="5" t="e">
        <f>LOWER(Table57811121314[[#This Row],[Leage_Abbrivation_Winbets]]) &amp; "_" &amp; LOWER(Table57811121314[[#This Row],[Team_Abbrivation_Winbets]])</f>
        <v>#VALUE!</v>
      </c>
      <c r="F83" s="6" t="s">
        <v>207</v>
      </c>
      <c r="G83" s="5">
        <v>5</v>
      </c>
      <c r="H83" s="5" t="s">
        <v>207</v>
      </c>
      <c r="I83" s="5" t="s">
        <v>199</v>
      </c>
    </row>
    <row r="84" spans="1:9">
      <c r="A84" s="20">
        <v>5</v>
      </c>
      <c r="B84" s="5">
        <v>13973</v>
      </c>
      <c r="C84" s="5" t="s">
        <v>195</v>
      </c>
      <c r="D84" s="5" t="s">
        <v>208</v>
      </c>
      <c r="E84" s="5" t="e">
        <f>LOWER(Table57811121314[[#This Row],[Leage_Abbrivation_Winbets]]) &amp; "_" &amp; LOWER(Table57811121314[[#This Row],[Team_Abbrivation_Winbets]])</f>
        <v>#VALUE!</v>
      </c>
      <c r="F84" s="6" t="s">
        <v>209</v>
      </c>
      <c r="G84" s="5">
        <v>6</v>
      </c>
      <c r="H84" s="5" t="s">
        <v>210</v>
      </c>
      <c r="I84" s="5" t="s">
        <v>199</v>
      </c>
    </row>
    <row r="85" spans="1:9">
      <c r="A85" s="21">
        <v>6</v>
      </c>
      <c r="B85" s="5">
        <v>13973</v>
      </c>
      <c r="C85" s="5" t="s">
        <v>195</v>
      </c>
      <c r="D85" s="5" t="s">
        <v>211</v>
      </c>
      <c r="E85" s="5" t="e">
        <f>LOWER(Table57811121314[[#This Row],[Leage_Abbrivation_Winbets]]) &amp; "_" &amp; LOWER(Table57811121314[[#This Row],[Team_Abbrivation_Winbets]])</f>
        <v>#VALUE!</v>
      </c>
      <c r="F85" s="6" t="s">
        <v>212</v>
      </c>
      <c r="G85" s="5">
        <v>7</v>
      </c>
      <c r="H85" s="5" t="s">
        <v>213</v>
      </c>
      <c r="I85" s="5" t="s">
        <v>199</v>
      </c>
    </row>
    <row r="86" spans="1:9">
      <c r="A86" s="20">
        <v>7</v>
      </c>
      <c r="B86" s="5">
        <v>13973</v>
      </c>
      <c r="C86" s="5" t="s">
        <v>195</v>
      </c>
      <c r="D86" s="5" t="s">
        <v>214</v>
      </c>
      <c r="E86" s="5" t="e">
        <f>LOWER(Table57811121314[[#This Row],[Leage_Abbrivation_Winbets]]) &amp; "_" &amp; LOWER(Table57811121314[[#This Row],[Team_Abbrivation_Winbets]])</f>
        <v>#VALUE!</v>
      </c>
      <c r="F86" s="6" t="s">
        <v>215</v>
      </c>
      <c r="G86" s="5">
        <v>8</v>
      </c>
      <c r="H86" s="5" t="s">
        <v>216</v>
      </c>
      <c r="I86" s="5" t="s">
        <v>199</v>
      </c>
    </row>
    <row r="87" spans="1:9">
      <c r="A87" s="21">
        <v>8</v>
      </c>
      <c r="B87" s="5">
        <v>13973</v>
      </c>
      <c r="C87" s="5" t="s">
        <v>195</v>
      </c>
      <c r="D87" s="5" t="s">
        <v>217</v>
      </c>
      <c r="E87" s="5" t="e">
        <f>LOWER(Table57811121314[[#This Row],[Leage_Abbrivation_Winbets]]) &amp; "_" &amp; LOWER(Table57811121314[[#This Row],[Team_Abbrivation_Winbets]])</f>
        <v>#VALUE!</v>
      </c>
      <c r="F87" s="6" t="s">
        <v>218</v>
      </c>
      <c r="G87" s="5">
        <v>9</v>
      </c>
      <c r="H87" s="5" t="s">
        <v>218</v>
      </c>
      <c r="I87" s="5" t="s">
        <v>199</v>
      </c>
    </row>
    <row r="88" spans="1:9">
      <c r="A88" s="20">
        <v>9</v>
      </c>
      <c r="B88" s="5">
        <v>13973</v>
      </c>
      <c r="C88" s="5" t="s">
        <v>195</v>
      </c>
      <c r="D88" s="5" t="s">
        <v>219</v>
      </c>
      <c r="E88" s="5" t="e">
        <f>LOWER(Table57811121314[[#This Row],[Leage_Abbrivation_Winbets]]) &amp; "_" &amp; LOWER(Table57811121314[[#This Row],[Team_Abbrivation_Winbets]])</f>
        <v>#VALUE!</v>
      </c>
      <c r="F88" s="6" t="s">
        <v>220</v>
      </c>
      <c r="G88" s="5">
        <v>10</v>
      </c>
      <c r="H88" s="5" t="s">
        <v>220</v>
      </c>
      <c r="I88" s="5" t="s">
        <v>199</v>
      </c>
    </row>
    <row r="89" spans="1:9">
      <c r="A89" s="21">
        <v>10</v>
      </c>
      <c r="B89" s="5">
        <v>13973</v>
      </c>
      <c r="C89" s="5" t="s">
        <v>195</v>
      </c>
      <c r="D89" s="5" t="s">
        <v>221</v>
      </c>
      <c r="E89" s="5" t="e">
        <f>LOWER(Table57811121314[[#This Row],[Leage_Abbrivation_Winbets]]) &amp; "_" &amp; LOWER(Table57811121314[[#This Row],[Team_Abbrivation_Winbets]])</f>
        <v>#VALUE!</v>
      </c>
      <c r="F89" s="6" t="s">
        <v>222</v>
      </c>
      <c r="G89" s="5">
        <v>11</v>
      </c>
      <c r="H89" s="5" t="s">
        <v>222</v>
      </c>
      <c r="I89" s="5" t="s">
        <v>199</v>
      </c>
    </row>
    <row r="90" spans="1:9">
      <c r="A90" s="20">
        <v>11</v>
      </c>
      <c r="B90" s="5">
        <v>13973</v>
      </c>
      <c r="C90" s="5" t="s">
        <v>195</v>
      </c>
      <c r="D90" s="5" t="s">
        <v>223</v>
      </c>
      <c r="E90" s="5" t="e">
        <f>LOWER(Table57811121314[[#This Row],[Leage_Abbrivation_Winbets]]) &amp; "_" &amp; LOWER(Table57811121314[[#This Row],[Team_Abbrivation_Winbets]])</f>
        <v>#VALUE!</v>
      </c>
      <c r="F90" s="6" t="s">
        <v>224</v>
      </c>
      <c r="G90" s="5">
        <v>12</v>
      </c>
      <c r="H90" s="5" t="s">
        <v>224</v>
      </c>
      <c r="I90" s="5" t="s">
        <v>199</v>
      </c>
    </row>
    <row r="91" spans="1:9">
      <c r="A91" s="21">
        <v>12</v>
      </c>
      <c r="B91" s="5">
        <v>13973</v>
      </c>
      <c r="C91" s="5" t="s">
        <v>195</v>
      </c>
      <c r="D91" s="5" t="s">
        <v>225</v>
      </c>
      <c r="E91" s="5" t="e">
        <f>LOWER(Table57811121314[[#This Row],[Leage_Abbrivation_Winbets]]) &amp; "_" &amp; LOWER(Table57811121314[[#This Row],[Team_Abbrivation_Winbets]])</f>
        <v>#VALUE!</v>
      </c>
      <c r="F91" s="6" t="s">
        <v>226</v>
      </c>
      <c r="G91" s="5">
        <v>13</v>
      </c>
      <c r="H91" s="5" t="s">
        <v>226</v>
      </c>
      <c r="I91" s="5" t="s">
        <v>199</v>
      </c>
    </row>
    <row r="92" spans="1:9">
      <c r="A92" s="20">
        <v>13</v>
      </c>
      <c r="B92" s="5">
        <v>13973</v>
      </c>
      <c r="C92" s="5" t="s">
        <v>195</v>
      </c>
      <c r="D92" s="5" t="s">
        <v>227</v>
      </c>
      <c r="E92" s="5" t="e">
        <f>LOWER(Table57811121314[[#This Row],[Leage_Abbrivation_Winbets]]) &amp; "_" &amp; LOWER(Table57811121314[[#This Row],[Team_Abbrivation_Winbets]])</f>
        <v>#VALUE!</v>
      </c>
      <c r="F92" s="6" t="s">
        <v>228</v>
      </c>
      <c r="G92" s="5">
        <v>14</v>
      </c>
      <c r="H92" s="5" t="s">
        <v>228</v>
      </c>
      <c r="I92" s="5" t="s">
        <v>199</v>
      </c>
    </row>
    <row r="93" spans="1:9">
      <c r="A93" s="21">
        <v>14</v>
      </c>
      <c r="B93" s="5">
        <v>13973</v>
      </c>
      <c r="C93" s="5" t="s">
        <v>195</v>
      </c>
      <c r="D93" s="23" t="s">
        <v>229</v>
      </c>
      <c r="E93" s="5" t="e">
        <f>LOWER(Table57811121314[[#This Row],[Leage_Abbrivation_Winbets]]) &amp; "_" &amp; LOWER(Table57811121314[[#This Row],[Team_Abbrivation_Winbets]])</f>
        <v>#VALUE!</v>
      </c>
      <c r="F93" s="6" t="s">
        <v>230</v>
      </c>
      <c r="G93" s="5">
        <v>15</v>
      </c>
      <c r="H93" s="5" t="s">
        <v>231</v>
      </c>
      <c r="I93" s="5" t="s">
        <v>199</v>
      </c>
    </row>
    <row r="94" spans="1:9">
      <c r="A94" s="20">
        <v>15</v>
      </c>
      <c r="B94" s="5">
        <v>13973</v>
      </c>
      <c r="C94" s="5" t="s">
        <v>195</v>
      </c>
      <c r="D94" s="5" t="s">
        <v>232</v>
      </c>
      <c r="E94" s="5" t="e">
        <f>LOWER(Table57811121314[[#This Row],[Leage_Abbrivation_Winbets]]) &amp; "_" &amp; LOWER(Table57811121314[[#This Row],[Team_Abbrivation_Winbets]])</f>
        <v>#VALUE!</v>
      </c>
      <c r="F94" s="6" t="s">
        <v>233</v>
      </c>
      <c r="G94" s="5">
        <v>16</v>
      </c>
      <c r="H94" s="5" t="s">
        <v>233</v>
      </c>
      <c r="I94" s="5" t="s">
        <v>199</v>
      </c>
    </row>
    <row r="95" spans="1:9">
      <c r="A95" s="21">
        <v>16</v>
      </c>
      <c r="B95" s="5">
        <v>13973</v>
      </c>
      <c r="C95" s="5" t="s">
        <v>195</v>
      </c>
      <c r="D95" s="5" t="s">
        <v>234</v>
      </c>
      <c r="E95" s="5" t="e">
        <f>LOWER(Table57811121314[[#This Row],[Leage_Abbrivation_Winbets]]) &amp; "_" &amp; LOWER(Table57811121314[[#This Row],[Team_Abbrivation_Winbets]])</f>
        <v>#VALUE!</v>
      </c>
      <c r="F95" s="6" t="s">
        <v>235</v>
      </c>
      <c r="G95" s="5">
        <v>17</v>
      </c>
      <c r="H95" s="5" t="s">
        <v>236</v>
      </c>
      <c r="I95" s="5" t="s">
        <v>199</v>
      </c>
    </row>
    <row r="96" spans="1:9">
      <c r="A96" s="20">
        <v>17</v>
      </c>
      <c r="B96" s="5">
        <v>13973</v>
      </c>
      <c r="C96" s="5" t="s">
        <v>195</v>
      </c>
      <c r="D96" s="5" t="s">
        <v>237</v>
      </c>
      <c r="E96" s="5" t="e">
        <f>LOWER(Table57811121314[[#This Row],[Leage_Abbrivation_Winbets]]) &amp; "_" &amp; LOWER(Table57811121314[[#This Row],[Team_Abbrivation_Winbets]])</f>
        <v>#VALUE!</v>
      </c>
      <c r="F96" s="6" t="s">
        <v>238</v>
      </c>
      <c r="G96" s="5">
        <v>18</v>
      </c>
      <c r="H96" s="5" t="s">
        <v>239</v>
      </c>
      <c r="I96" s="5" t="s">
        <v>199</v>
      </c>
    </row>
    <row r="97" spans="1:9">
      <c r="A97" s="21">
        <v>18</v>
      </c>
      <c r="B97" s="5">
        <v>13973</v>
      </c>
      <c r="C97" s="5" t="s">
        <v>195</v>
      </c>
      <c r="D97" s="5" t="s">
        <v>116</v>
      </c>
      <c r="E97" s="5" t="e">
        <f>LOWER(Table57811121314[[#This Row],[Leage_Abbrivation_Winbets]]) &amp; "_" &amp; LOWER(Table57811121314[[#This Row],[Team_Abbrivation_Winbets]])</f>
        <v>#VALUE!</v>
      </c>
      <c r="F97" s="6" t="s">
        <v>240</v>
      </c>
      <c r="G97" s="5">
        <v>19</v>
      </c>
      <c r="H97" s="5" t="s">
        <v>241</v>
      </c>
      <c r="I97" s="5" t="s">
        <v>199</v>
      </c>
    </row>
    <row r="98" spans="1:9">
      <c r="A98" s="20">
        <v>19</v>
      </c>
      <c r="B98" s="5">
        <v>13973</v>
      </c>
      <c r="C98" s="5" t="s">
        <v>195</v>
      </c>
      <c r="D98" s="5" t="s">
        <v>242</v>
      </c>
      <c r="E98" s="5" t="e">
        <f>LOWER(Table57811121314[[#This Row],[Leage_Abbrivation_Winbets]]) &amp; "_" &amp; LOWER(Table57811121314[[#This Row],[Team_Abbrivation_Winbets]])</f>
        <v>#VALUE!</v>
      </c>
      <c r="F98" s="6" t="s">
        <v>243</v>
      </c>
      <c r="G98" s="5">
        <v>20</v>
      </c>
      <c r="H98" s="5" t="s">
        <v>243</v>
      </c>
      <c r="I98" s="5" t="s">
        <v>199</v>
      </c>
    </row>
    <row r="99" spans="1:9">
      <c r="A99" s="21">
        <v>20</v>
      </c>
      <c r="B99" s="5">
        <v>13973</v>
      </c>
      <c r="C99" s="5" t="s">
        <v>195</v>
      </c>
      <c r="D99" s="5" t="s">
        <v>244</v>
      </c>
      <c r="E99" s="5" t="e">
        <f>LOWER(Table57811121314[[#This Row],[Leage_Abbrivation_Winbets]]) &amp; "_" &amp; LOWER(Table57811121314[[#This Row],[Team_Abbrivation_Winbets]])</f>
        <v>#VALUE!</v>
      </c>
      <c r="F99" s="6" t="s">
        <v>245</v>
      </c>
      <c r="G99" s="5">
        <v>1015</v>
      </c>
      <c r="H99" s="5" t="s">
        <v>246</v>
      </c>
      <c r="I99" s="5" t="s">
        <v>199</v>
      </c>
    </row>
    <row r="100" spans="1:9">
      <c r="A100" s="21">
        <v>21</v>
      </c>
      <c r="B100" s="5">
        <v>13973</v>
      </c>
      <c r="C100" s="5" t="s">
        <v>195</v>
      </c>
      <c r="D100" s="5" t="s">
        <v>247</v>
      </c>
      <c r="E100" s="5" t="e">
        <f>LOWER(Table57811121314[[#This Row],[Leage_Abbrivation_Winbets]]) &amp; "_" &amp; LOWER(Table57811121314[[#This Row],[Team_Abbrivation_Winbets]])</f>
        <v>#VALUE!</v>
      </c>
      <c r="F100" s="6" t="s">
        <v>248</v>
      </c>
      <c r="G100" s="5">
        <v>1016</v>
      </c>
      <c r="H100" s="5" t="s">
        <v>248</v>
      </c>
      <c r="I100" s="5" t="s">
        <v>199</v>
      </c>
    </row>
    <row r="101" spans="1:9">
      <c r="A101" s="20">
        <v>22</v>
      </c>
      <c r="B101" s="5">
        <v>13973</v>
      </c>
      <c r="C101" s="5" t="s">
        <v>195</v>
      </c>
      <c r="D101" s="5" t="s">
        <v>249</v>
      </c>
      <c r="E101" s="5" t="e">
        <f>LOWER(Table57811121314[[#This Row],[Leage_Abbrivation_Winbets]]) &amp; "_" &amp; LOWER(Table57811121314[[#This Row],[Team_Abbrivation_Winbets]])</f>
        <v>#VALUE!</v>
      </c>
      <c r="F101" s="6" t="s">
        <v>249</v>
      </c>
      <c r="G101" s="5">
        <v>6490</v>
      </c>
      <c r="H101" s="5" t="s">
        <v>250</v>
      </c>
      <c r="I101" s="5" t="s">
        <v>199</v>
      </c>
    </row>
    <row r="102" spans="1:9">
      <c r="A102" s="21">
        <v>23</v>
      </c>
      <c r="B102" s="5">
        <v>13973</v>
      </c>
      <c r="C102" s="5" t="s">
        <v>195</v>
      </c>
      <c r="D102" s="5" t="s">
        <v>251</v>
      </c>
      <c r="E102" s="5" t="e">
        <f>LOWER(Table57811121314[[#This Row],[Leage_Abbrivation_Winbets]]) &amp; "_" &amp; LOWER(Table57811121314[[#This Row],[Team_Abbrivation_Winbets]])</f>
        <v>#VALUE!</v>
      </c>
      <c r="F102" s="6" t="s">
        <v>252</v>
      </c>
      <c r="G102" s="5">
        <v>8043</v>
      </c>
      <c r="H102" s="5" t="s">
        <v>252</v>
      </c>
      <c r="I102" s="5" t="s">
        <v>199</v>
      </c>
    </row>
    <row r="103" spans="1:9">
      <c r="A103" s="21">
        <v>24</v>
      </c>
      <c r="B103" s="5">
        <v>13973</v>
      </c>
      <c r="C103" s="5" t="s">
        <v>195</v>
      </c>
      <c r="D103" s="5" t="s">
        <v>253</v>
      </c>
      <c r="E103" s="5" t="e">
        <f>LOWER(Table57811121314[[#This Row],[Leage_Abbrivation_Winbets]]) &amp; "_" &amp; LOWER(Table57811121314[[#This Row],[Team_Abbrivation_Winbets]])</f>
        <v>#VALUE!</v>
      </c>
      <c r="F103" s="6" t="s">
        <v>254</v>
      </c>
      <c r="G103" s="5">
        <v>13401</v>
      </c>
      <c r="H103" s="5" t="s">
        <v>255</v>
      </c>
      <c r="I103" s="5" t="s">
        <v>199</v>
      </c>
    </row>
    <row r="104" spans="1:9">
      <c r="A104" s="20">
        <v>25</v>
      </c>
      <c r="B104" s="5">
        <v>13973</v>
      </c>
      <c r="C104" s="5" t="s">
        <v>195</v>
      </c>
      <c r="D104" s="5" t="s">
        <v>256</v>
      </c>
      <c r="E104" s="5" t="e">
        <f>LOWER(Table57811121314[[#This Row],[Leage_Abbrivation_Winbets]]) &amp; "_" &amp; LOWER(Table57811121314[[#This Row],[Team_Abbrivation_Winbets]])</f>
        <v>#VALUE!</v>
      </c>
      <c r="F104" s="6" t="s">
        <v>257</v>
      </c>
      <c r="G104" s="5">
        <v>677446</v>
      </c>
      <c r="H104" s="5" t="s">
        <v>258</v>
      </c>
      <c r="I104" s="5" t="s">
        <v>199</v>
      </c>
    </row>
    <row r="105" spans="1:9">
      <c r="A105" s="21">
        <v>26</v>
      </c>
      <c r="B105" s="5">
        <v>13973</v>
      </c>
      <c r="C105" s="5" t="s">
        <v>195</v>
      </c>
      <c r="D105" s="24" t="s">
        <v>259</v>
      </c>
      <c r="E105" s="5" t="e">
        <f>LOWER(Table57811121314[[#This Row],[Leage_Abbrivation_Winbets]]) &amp; "_" &amp; LOWER(Table57811121314[[#This Row],[Team_Abbrivation_Winbets]])</f>
        <v>#VALUE!</v>
      </c>
      <c r="F105" s="6" t="s">
        <v>260</v>
      </c>
      <c r="G105" s="5">
        <v>677447</v>
      </c>
      <c r="H105" s="5" t="s">
        <v>260</v>
      </c>
      <c r="I105" s="5" t="s">
        <v>199</v>
      </c>
    </row>
    <row r="106" spans="1:9">
      <c r="A106" s="21">
        <v>27</v>
      </c>
      <c r="B106" s="5">
        <v>13973</v>
      </c>
      <c r="C106" s="5" t="s">
        <v>195</v>
      </c>
      <c r="D106" s="5" t="s">
        <v>261</v>
      </c>
      <c r="E106" s="5" t="e">
        <f>LOWER(Table57811121314[[#This Row],[Leage_Abbrivation_Winbets]]) &amp; "_" &amp; LOWER(Table57811121314[[#This Row],[Team_Abbrivation_Winbets]])</f>
        <v>#VALUE!</v>
      </c>
      <c r="F106" s="6" t="s">
        <v>262</v>
      </c>
      <c r="G106" s="5">
        <v>698284</v>
      </c>
      <c r="H106" s="5" t="s">
        <v>263</v>
      </c>
      <c r="I106" s="5" t="s">
        <v>199</v>
      </c>
    </row>
    <row r="107" spans="1:9">
      <c r="A107" s="20">
        <v>28</v>
      </c>
      <c r="B107" s="5">
        <v>13973</v>
      </c>
      <c r="C107" s="5" t="s">
        <v>195</v>
      </c>
      <c r="D107" s="5" t="s">
        <v>264</v>
      </c>
      <c r="E107" s="5" t="e">
        <f>LOWER(Table57811121314[[#This Row],[Leage_Abbrivation_Winbets]]) &amp; "_" &amp; LOWER(Table57811121314[[#This Row],[Team_Abbrivation_Winbets]])</f>
        <v>#VALUE!</v>
      </c>
      <c r="F107" s="6" t="s">
        <v>265</v>
      </c>
      <c r="G107" s="5">
        <v>711351</v>
      </c>
      <c r="H107" s="5" t="s">
        <v>266</v>
      </c>
      <c r="I107" s="5" t="s">
        <v>199</v>
      </c>
    </row>
    <row r="108" spans="1:9">
      <c r="A108" s="21">
        <v>29</v>
      </c>
      <c r="B108" s="5">
        <v>13973</v>
      </c>
      <c r="C108" s="5" t="s">
        <v>195</v>
      </c>
      <c r="D108" s="5" t="s">
        <v>267</v>
      </c>
      <c r="E108" s="5" t="e">
        <f>LOWER(Table57811121314[[#This Row],[Leage_Abbrivation_Winbets]]) &amp; "_" &amp; LOWER(Table57811121314[[#This Row],[Team_Abbrivation_Winbets]])</f>
        <v>#VALUE!</v>
      </c>
      <c r="F108" s="6" t="s">
        <v>268</v>
      </c>
      <c r="G108" s="5">
        <v>945555</v>
      </c>
      <c r="H108" s="5" t="s">
        <v>269</v>
      </c>
      <c r="I108" s="5" t="s">
        <v>199</v>
      </c>
    </row>
    <row r="109" spans="1:9">
      <c r="A109" s="22">
        <v>30</v>
      </c>
      <c r="B109" s="5">
        <v>13973</v>
      </c>
      <c r="C109" s="5" t="s">
        <v>195</v>
      </c>
      <c r="D109" s="5" t="s">
        <v>270</v>
      </c>
      <c r="E109" s="5" t="e">
        <f>LOWER(Table57811121314[[#This Row],[Leage_Abbrivation_Winbets]]) &amp; "_" &amp; LOWER(Table57811121314[[#This Row],[Team_Abbrivation_Winbets]])</f>
        <v>#VALUE!</v>
      </c>
      <c r="F109" s="6" t="s">
        <v>271</v>
      </c>
      <c r="G109" s="5">
        <v>1398748</v>
      </c>
      <c r="H109" s="5" t="s">
        <v>272</v>
      </c>
      <c r="I109" s="5" t="s">
        <v>199</v>
      </c>
    </row>
    <row r="110" spans="1:9">
      <c r="A110" s="20">
        <v>1</v>
      </c>
      <c r="B110" s="5">
        <v>14932</v>
      </c>
      <c r="C110" s="5" t="s">
        <v>273</v>
      </c>
      <c r="D110" s="5" t="s">
        <v>274</v>
      </c>
      <c r="E110" s="5" t="e">
        <f>LOWER(Table57811121314[[#This Row],[Leage_Abbrivation_Winbets]]) &amp; "_" &amp; LOWER(Table57811121314[[#This Row],[Team_Abbrivation_Winbets]])</f>
        <v>#VALUE!</v>
      </c>
      <c r="F110" s="6" t="s">
        <v>275</v>
      </c>
      <c r="G110" s="5">
        <v>56</v>
      </c>
      <c r="H110" s="5" t="s">
        <v>276</v>
      </c>
      <c r="I110" s="5" t="s">
        <v>277</v>
      </c>
    </row>
    <row r="111" spans="1:9">
      <c r="A111" s="21">
        <v>2</v>
      </c>
      <c r="B111" s="5">
        <v>14932</v>
      </c>
      <c r="C111" s="5" t="s">
        <v>273</v>
      </c>
      <c r="D111" s="5" t="s">
        <v>278</v>
      </c>
      <c r="E111" s="5" t="e">
        <f>LOWER(Table57811121314[[#This Row],[Leage_Abbrivation_Winbets]]) &amp; "_" &amp; LOWER(Table57811121314[[#This Row],[Team_Abbrivation_Winbets]])</f>
        <v>#VALUE!</v>
      </c>
      <c r="F111" s="6" t="s">
        <v>279</v>
      </c>
      <c r="G111" s="5">
        <v>57</v>
      </c>
      <c r="H111" s="5" t="s">
        <v>280</v>
      </c>
      <c r="I111" s="5" t="s">
        <v>281</v>
      </c>
    </row>
    <row r="112" spans="1:9">
      <c r="A112" s="20">
        <v>3</v>
      </c>
      <c r="B112" s="5">
        <v>14932</v>
      </c>
      <c r="C112" s="5" t="s">
        <v>273</v>
      </c>
      <c r="D112" s="5" t="s">
        <v>282</v>
      </c>
      <c r="E112" s="5" t="e">
        <f>LOWER(Table57811121314[[#This Row],[Leage_Abbrivation_Winbets]]) &amp; "_" &amp; LOWER(Table57811121314[[#This Row],[Team_Abbrivation_Winbets]])</f>
        <v>#VALUE!</v>
      </c>
      <c r="F112" s="6" t="s">
        <v>283</v>
      </c>
      <c r="G112" s="5">
        <v>68</v>
      </c>
      <c r="H112" s="5" t="s">
        <v>282</v>
      </c>
      <c r="I112" s="5" t="s">
        <v>284</v>
      </c>
    </row>
    <row r="113" spans="1:9">
      <c r="A113" s="21">
        <v>4</v>
      </c>
      <c r="B113" s="5">
        <v>14932</v>
      </c>
      <c r="C113" s="5" t="s">
        <v>273</v>
      </c>
      <c r="D113" s="5" t="s">
        <v>285</v>
      </c>
      <c r="E113" s="5" t="e">
        <f>LOWER(Table57811121314[[#This Row],[Leage_Abbrivation_Winbets]]) &amp; "_" &amp; LOWER(Table57811121314[[#This Row],[Team_Abbrivation_Winbets]])</f>
        <v>#VALUE!</v>
      </c>
      <c r="F113" s="6" t="s">
        <v>286</v>
      </c>
      <c r="G113" s="5">
        <v>438</v>
      </c>
      <c r="H113" s="5" t="s">
        <v>286</v>
      </c>
      <c r="I113" s="5" t="s">
        <v>287</v>
      </c>
    </row>
    <row r="114" spans="1:9">
      <c r="A114" s="20">
        <v>5</v>
      </c>
      <c r="B114" s="5">
        <v>14932</v>
      </c>
      <c r="C114" s="5" t="s">
        <v>273</v>
      </c>
      <c r="D114" s="5" t="s">
        <v>288</v>
      </c>
      <c r="E114" s="5" t="e">
        <f>LOWER(Table57811121314[[#This Row],[Leage_Abbrivation_Winbets]]) &amp; "_" &amp; LOWER(Table57811121314[[#This Row],[Team_Abbrivation_Winbets]])</f>
        <v>#VALUE!</v>
      </c>
      <c r="F114" s="6" t="s">
        <v>289</v>
      </c>
      <c r="G114" s="5">
        <v>439</v>
      </c>
      <c r="H114" s="5" t="s">
        <v>289</v>
      </c>
      <c r="I114" s="5" t="s">
        <v>290</v>
      </c>
    </row>
    <row r="115" spans="1:9">
      <c r="A115" s="21">
        <v>6</v>
      </c>
      <c r="B115" s="5">
        <v>14932</v>
      </c>
      <c r="C115" s="5" t="s">
        <v>273</v>
      </c>
      <c r="D115" s="5" t="s">
        <v>291</v>
      </c>
      <c r="E115" s="5" t="e">
        <f>LOWER(Table57811121314[[#This Row],[Leage_Abbrivation_Winbets]]) &amp; "_" &amp; LOWER(Table57811121314[[#This Row],[Team_Abbrivation_Winbets]])</f>
        <v>#VALUE!</v>
      </c>
      <c r="F115" s="6" t="s">
        <v>292</v>
      </c>
      <c r="G115" s="5">
        <v>440</v>
      </c>
      <c r="H115" s="5" t="s">
        <v>292</v>
      </c>
      <c r="I115" s="5" t="s">
        <v>293</v>
      </c>
    </row>
    <row r="116" spans="1:9">
      <c r="A116" s="20">
        <v>7</v>
      </c>
      <c r="B116" s="5">
        <v>14932</v>
      </c>
      <c r="C116" s="5" t="s">
        <v>273</v>
      </c>
      <c r="D116" s="5" t="s">
        <v>294</v>
      </c>
      <c r="E116" s="5" t="e">
        <f>LOWER(Table57811121314[[#This Row],[Leage_Abbrivation_Winbets]]) &amp; "_" &amp; LOWER(Table57811121314[[#This Row],[Team_Abbrivation_Winbets]])</f>
        <v>#VALUE!</v>
      </c>
      <c r="F116" s="6" t="s">
        <v>295</v>
      </c>
      <c r="G116" s="5">
        <v>441</v>
      </c>
      <c r="H116" s="5" t="s">
        <v>295</v>
      </c>
      <c r="I116" s="5" t="s">
        <v>296</v>
      </c>
    </row>
    <row r="117" spans="1:9">
      <c r="A117" s="21">
        <v>8</v>
      </c>
      <c r="B117" s="5">
        <v>14932</v>
      </c>
      <c r="C117" s="5" t="s">
        <v>273</v>
      </c>
      <c r="D117" s="5" t="s">
        <v>297</v>
      </c>
      <c r="E117" s="5" t="e">
        <f>LOWER(Table57811121314[[#This Row],[Leage_Abbrivation_Winbets]]) &amp; "_" &amp; LOWER(Table57811121314[[#This Row],[Team_Abbrivation_Winbets]])</f>
        <v>#VALUE!</v>
      </c>
      <c r="F117" s="6" t="s">
        <v>298</v>
      </c>
      <c r="G117" s="5">
        <v>442</v>
      </c>
      <c r="H117" s="5" t="s">
        <v>299</v>
      </c>
      <c r="I117" s="5" t="s">
        <v>300</v>
      </c>
    </row>
    <row r="118" spans="1:9">
      <c r="A118" s="20">
        <v>9</v>
      </c>
      <c r="B118" s="5">
        <v>14932</v>
      </c>
      <c r="C118" s="5" t="s">
        <v>273</v>
      </c>
      <c r="D118" s="25" t="s">
        <v>301</v>
      </c>
      <c r="E118" s="5" t="e">
        <f>LOWER(Table57811121314[[#This Row],[Leage_Abbrivation_Winbets]]) &amp; "_" &amp; LOWER(Table57811121314[[#This Row],[Team_Abbrivation_Winbets]])</f>
        <v>#VALUE!</v>
      </c>
      <c r="F118" s="27" t="s">
        <v>302</v>
      </c>
      <c r="G118" s="5">
        <v>443</v>
      </c>
      <c r="H118" s="5" t="s">
        <v>303</v>
      </c>
      <c r="I118" s="5" t="s">
        <v>304</v>
      </c>
    </row>
    <row r="119" spans="1:9">
      <c r="A119" s="21">
        <v>10</v>
      </c>
      <c r="B119" s="5">
        <v>14932</v>
      </c>
      <c r="C119" s="5" t="s">
        <v>273</v>
      </c>
      <c r="D119" s="5" t="s">
        <v>305</v>
      </c>
      <c r="E119" s="5" t="e">
        <f>LOWER(Table57811121314[[#This Row],[Leage_Abbrivation_Winbets]]) &amp; "_" &amp; LOWER(Table57811121314[[#This Row],[Team_Abbrivation_Winbets]])</f>
        <v>#VALUE!</v>
      </c>
      <c r="F119" s="6" t="s">
        <v>306</v>
      </c>
      <c r="G119" s="5">
        <v>444</v>
      </c>
      <c r="H119" s="5" t="s">
        <v>307</v>
      </c>
      <c r="I119" s="5" t="s">
        <v>308</v>
      </c>
    </row>
    <row r="120" spans="1:9">
      <c r="A120" s="20">
        <v>11</v>
      </c>
      <c r="B120" s="5">
        <v>14932</v>
      </c>
      <c r="C120" s="5" t="s">
        <v>273</v>
      </c>
      <c r="D120" s="5" t="s">
        <v>309</v>
      </c>
      <c r="E120" s="5" t="e">
        <f>LOWER(Table57811121314[[#This Row],[Leage_Abbrivation_Winbets]]) &amp; "_" &amp; LOWER(Table57811121314[[#This Row],[Team_Abbrivation_Winbets]])</f>
        <v>#VALUE!</v>
      </c>
      <c r="F120" s="6" t="s">
        <v>310</v>
      </c>
      <c r="G120" s="5">
        <v>445</v>
      </c>
      <c r="H120" s="5" t="s">
        <v>310</v>
      </c>
      <c r="I120" s="5" t="s">
        <v>311</v>
      </c>
    </row>
    <row r="121" spans="1:9">
      <c r="A121" s="21">
        <v>12</v>
      </c>
      <c r="B121" s="5">
        <v>14932</v>
      </c>
      <c r="C121" s="5" t="s">
        <v>273</v>
      </c>
      <c r="D121" s="26" t="s">
        <v>312</v>
      </c>
      <c r="E121" s="5" t="e">
        <f>LOWER(Table57811121314[[#This Row],[Leage_Abbrivation_Winbets]]) &amp; "_" &amp; LOWER(Table57811121314[[#This Row],[Team_Abbrivation_Winbets]])</f>
        <v>#VALUE!</v>
      </c>
      <c r="F121" s="28" t="s">
        <v>313</v>
      </c>
      <c r="G121" s="5">
        <v>448</v>
      </c>
      <c r="H121" s="5" t="s">
        <v>313</v>
      </c>
      <c r="I121" s="5" t="s">
        <v>314</v>
      </c>
    </row>
    <row r="122" spans="1:9">
      <c r="A122" s="20">
        <v>13</v>
      </c>
      <c r="B122" s="5">
        <v>14932</v>
      </c>
      <c r="C122" s="5" t="s">
        <v>273</v>
      </c>
      <c r="D122" s="26" t="s">
        <v>315</v>
      </c>
      <c r="E122" s="5" t="e">
        <f>LOWER(Table57811121314[[#This Row],[Leage_Abbrivation_Winbets]]) &amp; "_" &amp; LOWER(Table57811121314[[#This Row],[Team_Abbrivation_Winbets]])</f>
        <v>#VALUE!</v>
      </c>
      <c r="F122" s="28" t="s">
        <v>316</v>
      </c>
      <c r="G122" s="5">
        <v>449</v>
      </c>
      <c r="H122" s="5" t="s">
        <v>316</v>
      </c>
      <c r="I122" s="5" t="s">
        <v>317</v>
      </c>
    </row>
    <row r="123" spans="1:9">
      <c r="A123" s="21">
        <v>14</v>
      </c>
      <c r="B123" s="5">
        <v>14932</v>
      </c>
      <c r="C123" s="5" t="s">
        <v>273</v>
      </c>
      <c r="D123" s="5" t="s">
        <v>318</v>
      </c>
      <c r="E123" s="5" t="e">
        <f>LOWER(Table57811121314[[#This Row],[Leage_Abbrivation_Winbets]]) &amp; "_" &amp; LOWER(Table57811121314[[#This Row],[Team_Abbrivation_Winbets]])</f>
        <v>#VALUE!</v>
      </c>
      <c r="F123" s="6" t="s">
        <v>319</v>
      </c>
      <c r="G123" s="5">
        <v>479</v>
      </c>
      <c r="H123" s="5" t="s">
        <v>320</v>
      </c>
      <c r="I123" s="5" t="s">
        <v>321</v>
      </c>
    </row>
    <row r="124" spans="1:9">
      <c r="A124" s="20">
        <v>15</v>
      </c>
      <c r="B124" s="5">
        <v>14932</v>
      </c>
      <c r="C124" s="5" t="s">
        <v>273</v>
      </c>
      <c r="D124" s="5" t="s">
        <v>322</v>
      </c>
      <c r="E124" s="5" t="e">
        <f>LOWER(Table57811121314[[#This Row],[Leage_Abbrivation_Winbets]]) &amp; "_" &amp; LOWER(Table57811121314[[#This Row],[Team_Abbrivation_Winbets]])</f>
        <v>#VALUE!</v>
      </c>
      <c r="F124" s="6" t="s">
        <v>323</v>
      </c>
      <c r="G124" s="5">
        <v>480</v>
      </c>
      <c r="H124" s="5" t="s">
        <v>323</v>
      </c>
      <c r="I124" s="5" t="s">
        <v>324</v>
      </c>
    </row>
    <row r="125" spans="1:9">
      <c r="A125" s="21">
        <v>16</v>
      </c>
      <c r="B125" s="5">
        <v>14932</v>
      </c>
      <c r="C125" s="5" t="s">
        <v>273</v>
      </c>
      <c r="D125" s="5" t="s">
        <v>45</v>
      </c>
      <c r="E125" s="5" t="e">
        <f>LOWER(Table57811121314[[#This Row],[Leage_Abbrivation_Winbets]]) &amp; "_" &amp; LOWER(Table57811121314[[#This Row],[Team_Abbrivation_Winbets]])</f>
        <v>#VALUE!</v>
      </c>
      <c r="F125" s="6" t="s">
        <v>325</v>
      </c>
      <c r="G125" s="5">
        <v>491</v>
      </c>
      <c r="H125" s="5" t="s">
        <v>325</v>
      </c>
      <c r="I125" s="5" t="s">
        <v>326</v>
      </c>
    </row>
    <row r="126" spans="1:9">
      <c r="A126" s="20">
        <v>17</v>
      </c>
      <c r="B126" s="5">
        <v>14932</v>
      </c>
      <c r="C126" s="5" t="s">
        <v>273</v>
      </c>
      <c r="D126" s="5" t="s">
        <v>327</v>
      </c>
      <c r="E126" s="5" t="e">
        <f>LOWER(Table57811121314[[#This Row],[Leage_Abbrivation_Winbets]]) &amp; "_" &amp; LOWER(Table57811121314[[#This Row],[Team_Abbrivation_Winbets]])</f>
        <v>#VALUE!</v>
      </c>
      <c r="F126" s="6" t="s">
        <v>328</v>
      </c>
      <c r="G126" s="5">
        <v>493</v>
      </c>
      <c r="H126" s="5" t="s">
        <v>329</v>
      </c>
      <c r="I126" s="5" t="s">
        <v>330</v>
      </c>
    </row>
    <row r="127" spans="1:9">
      <c r="A127" s="22">
        <v>18</v>
      </c>
      <c r="B127" s="5">
        <v>14932</v>
      </c>
      <c r="C127" s="5" t="s">
        <v>273</v>
      </c>
      <c r="D127" s="5" t="s">
        <v>131</v>
      </c>
      <c r="E127" s="5" t="e">
        <f>LOWER(Table57811121314[[#This Row],[Leage_Abbrivation_Winbets]]) &amp; "_" &amp; LOWER(Table57811121314[[#This Row],[Team_Abbrivation_Winbets]])</f>
        <v>#VALUE!</v>
      </c>
      <c r="F127" s="6" t="s">
        <v>331</v>
      </c>
      <c r="G127" s="5">
        <v>494</v>
      </c>
      <c r="H127" s="5" t="s">
        <v>332</v>
      </c>
      <c r="I127" s="5" t="s">
        <v>333</v>
      </c>
    </row>
    <row r="128" spans="1:9">
      <c r="A128" s="20">
        <v>1</v>
      </c>
      <c r="B128" s="5">
        <v>14936</v>
      </c>
      <c r="C128" s="5" t="s">
        <v>334</v>
      </c>
      <c r="D128" s="5" t="s">
        <v>335</v>
      </c>
      <c r="E128" s="5" t="e">
        <f>LOWER(Table57811121314[[#This Row],[Leage_Abbrivation_Winbets]]) &amp; "_" &amp; LOWER(Table57811121314[[#This Row],[Team_Abbrivation_Winbets]])</f>
        <v>#VALUE!</v>
      </c>
      <c r="F128" s="6" t="s">
        <v>336</v>
      </c>
      <c r="G128" s="5">
        <v>120</v>
      </c>
      <c r="H128" s="5" t="s">
        <v>337</v>
      </c>
      <c r="I128" s="5" t="s">
        <v>338</v>
      </c>
    </row>
    <row r="129" spans="1:9">
      <c r="A129" s="21">
        <v>2</v>
      </c>
      <c r="B129" s="5">
        <v>14936</v>
      </c>
      <c r="C129" s="5" t="s">
        <v>334</v>
      </c>
      <c r="D129" s="5" t="s">
        <v>339</v>
      </c>
      <c r="E129" s="5" t="e">
        <f>LOWER(Table57811121314[[#This Row],[Leage_Abbrivation_Winbets]]) &amp; "_" &amp; LOWER(Table57811121314[[#This Row],[Team_Abbrivation_Winbets]])</f>
        <v>#VALUE!</v>
      </c>
      <c r="F129" s="6" t="s">
        <v>340</v>
      </c>
      <c r="G129" s="5">
        <v>121</v>
      </c>
      <c r="H129" s="5" t="s">
        <v>339</v>
      </c>
      <c r="I129" s="5" t="s">
        <v>338</v>
      </c>
    </row>
    <row r="130" spans="1:9">
      <c r="A130" s="20">
        <v>3</v>
      </c>
      <c r="B130" s="5">
        <v>14936</v>
      </c>
      <c r="C130" s="5" t="s">
        <v>334</v>
      </c>
      <c r="D130" s="5" t="s">
        <v>341</v>
      </c>
      <c r="E130" s="5" t="e">
        <f>LOWER(Table57811121314[[#This Row],[Leage_Abbrivation_Winbets]]) &amp; "_" &amp; LOWER(Table57811121314[[#This Row],[Team_Abbrivation_Winbets]])</f>
        <v>#VALUE!</v>
      </c>
      <c r="F130" s="6" t="s">
        <v>342</v>
      </c>
      <c r="G130" s="5">
        <v>366</v>
      </c>
      <c r="H130" s="5" t="s">
        <v>342</v>
      </c>
      <c r="I130" s="5" t="s">
        <v>338</v>
      </c>
    </row>
    <row r="131" spans="1:9">
      <c r="A131" s="21">
        <v>4</v>
      </c>
      <c r="B131" s="5">
        <v>14936</v>
      </c>
      <c r="C131" s="5" t="s">
        <v>334</v>
      </c>
      <c r="D131" s="5" t="s">
        <v>343</v>
      </c>
      <c r="E131" s="5" t="e">
        <f>LOWER(Table57811121314[[#This Row],[Leage_Abbrivation_Winbets]]) &amp; "_" &amp; LOWER(Table57811121314[[#This Row],[Team_Abbrivation_Winbets]])</f>
        <v>#VALUE!</v>
      </c>
      <c r="F131" s="6" t="s">
        <v>344</v>
      </c>
      <c r="G131" s="5">
        <v>367</v>
      </c>
      <c r="H131" s="5" t="s">
        <v>345</v>
      </c>
      <c r="I131" s="5" t="s">
        <v>338</v>
      </c>
    </row>
    <row r="132" spans="1:9">
      <c r="A132" s="20">
        <v>5</v>
      </c>
      <c r="B132" s="5">
        <v>14936</v>
      </c>
      <c r="C132" s="5" t="s">
        <v>334</v>
      </c>
      <c r="D132" s="5" t="s">
        <v>346</v>
      </c>
      <c r="E132" s="5" t="e">
        <f>LOWER(Table57811121314[[#This Row],[Leage_Abbrivation_Winbets]]) &amp; "_" &amp; LOWER(Table57811121314[[#This Row],[Team_Abbrivation_Winbets]])</f>
        <v>#VALUE!</v>
      </c>
      <c r="F132" s="6" t="s">
        <v>347</v>
      </c>
      <c r="G132" s="5">
        <v>370</v>
      </c>
      <c r="H132" s="5" t="s">
        <v>348</v>
      </c>
      <c r="I132" s="5" t="s">
        <v>338</v>
      </c>
    </row>
    <row r="133" spans="1:9">
      <c r="A133" s="21">
        <v>6</v>
      </c>
      <c r="B133" s="5">
        <v>14936</v>
      </c>
      <c r="C133" s="5" t="s">
        <v>334</v>
      </c>
      <c r="D133" s="5" t="s">
        <v>349</v>
      </c>
      <c r="E133" s="5" t="e">
        <f>LOWER(Table57811121314[[#This Row],[Leage_Abbrivation_Winbets]]) &amp; "_" &amp; LOWER(Table57811121314[[#This Row],[Team_Abbrivation_Winbets]])</f>
        <v>#VALUE!</v>
      </c>
      <c r="F133" s="6" t="s">
        <v>350</v>
      </c>
      <c r="G133" s="5">
        <v>371</v>
      </c>
      <c r="H133" s="5" t="s">
        <v>350</v>
      </c>
      <c r="I133" s="5" t="s">
        <v>338</v>
      </c>
    </row>
    <row r="134" spans="1:9">
      <c r="A134" s="20">
        <v>7</v>
      </c>
      <c r="B134" s="5">
        <v>14936</v>
      </c>
      <c r="C134" s="5" t="s">
        <v>334</v>
      </c>
      <c r="D134" s="5" t="s">
        <v>351</v>
      </c>
      <c r="E134" s="5" t="e">
        <f>LOWER(Table57811121314[[#This Row],[Leage_Abbrivation_Winbets]]) &amp; "_" &amp; LOWER(Table57811121314[[#This Row],[Team_Abbrivation_Winbets]])</f>
        <v>#VALUE!</v>
      </c>
      <c r="F134" s="6" t="s">
        <v>352</v>
      </c>
      <c r="G134" s="5">
        <v>372</v>
      </c>
      <c r="H134" s="5" t="s">
        <v>353</v>
      </c>
      <c r="I134" s="5" t="s">
        <v>338</v>
      </c>
    </row>
    <row r="135" spans="1:9">
      <c r="A135" s="21">
        <v>8</v>
      </c>
      <c r="B135" s="5">
        <v>14936</v>
      </c>
      <c r="C135" s="5" t="s">
        <v>334</v>
      </c>
      <c r="D135" s="5" t="s">
        <v>354</v>
      </c>
      <c r="E135" s="5" t="e">
        <f>LOWER(Table57811121314[[#This Row],[Leage_Abbrivation_Winbets]]) &amp; "_" &amp; LOWER(Table57811121314[[#This Row],[Team_Abbrivation_Winbets]])</f>
        <v>#VALUE!</v>
      </c>
      <c r="F135" s="6" t="s">
        <v>355</v>
      </c>
      <c r="G135" s="5">
        <v>373</v>
      </c>
      <c r="H135" s="5" t="s">
        <v>355</v>
      </c>
      <c r="I135" s="5" t="s">
        <v>338</v>
      </c>
    </row>
    <row r="136" spans="1:9">
      <c r="A136" s="20">
        <v>9</v>
      </c>
      <c r="B136" s="5">
        <v>14936</v>
      </c>
      <c r="C136" s="5" t="s">
        <v>334</v>
      </c>
      <c r="D136" s="5" t="s">
        <v>356</v>
      </c>
      <c r="E136" s="5" t="e">
        <f>LOWER(Table57811121314[[#This Row],[Leage_Abbrivation_Winbets]]) &amp; "_" &amp; LOWER(Table57811121314[[#This Row],[Team_Abbrivation_Winbets]])</f>
        <v>#VALUE!</v>
      </c>
      <c r="F136" s="6" t="s">
        <v>357</v>
      </c>
      <c r="G136" s="5">
        <v>374</v>
      </c>
      <c r="H136" s="5" t="s">
        <v>357</v>
      </c>
      <c r="I136" s="5" t="s">
        <v>338</v>
      </c>
    </row>
    <row r="137" spans="1:9">
      <c r="A137" s="21">
        <v>10</v>
      </c>
      <c r="B137" s="5">
        <v>14936</v>
      </c>
      <c r="C137" s="5" t="s">
        <v>334</v>
      </c>
      <c r="D137" s="5" t="s">
        <v>358</v>
      </c>
      <c r="E137" s="5" t="e">
        <f>LOWER(Table57811121314[[#This Row],[Leage_Abbrivation_Winbets]]) &amp; "_" &amp; LOWER(Table57811121314[[#This Row],[Team_Abbrivation_Winbets]])</f>
        <v>#VALUE!</v>
      </c>
      <c r="F137" s="6" t="s">
        <v>359</v>
      </c>
      <c r="G137" s="5">
        <v>375</v>
      </c>
      <c r="H137" s="5" t="s">
        <v>360</v>
      </c>
      <c r="I137" s="5" t="s">
        <v>338</v>
      </c>
    </row>
    <row r="138" spans="1:9">
      <c r="A138" s="20">
        <v>11</v>
      </c>
      <c r="B138" s="5">
        <v>14936</v>
      </c>
      <c r="C138" s="5" t="s">
        <v>334</v>
      </c>
      <c r="D138" s="5" t="s">
        <v>361</v>
      </c>
      <c r="E138" s="5" t="e">
        <f>LOWER(Table57811121314[[#This Row],[Leage_Abbrivation_Winbets]]) &amp; "_" &amp; LOWER(Table57811121314[[#This Row],[Team_Abbrivation_Winbets]])</f>
        <v>#VALUE!</v>
      </c>
      <c r="F138" s="6" t="s">
        <v>362</v>
      </c>
      <c r="G138" s="5">
        <v>376</v>
      </c>
      <c r="H138" s="5" t="s">
        <v>363</v>
      </c>
      <c r="I138" s="5" t="s">
        <v>338</v>
      </c>
    </row>
    <row r="139" spans="1:9">
      <c r="A139" s="21">
        <v>12</v>
      </c>
      <c r="B139" s="5">
        <v>14936</v>
      </c>
      <c r="C139" s="5" t="s">
        <v>334</v>
      </c>
      <c r="D139" s="5" t="s">
        <v>364</v>
      </c>
      <c r="E139" s="5" t="e">
        <f>LOWER(Table57811121314[[#This Row],[Leage_Abbrivation_Winbets]]) &amp; "_" &amp; LOWER(Table57811121314[[#This Row],[Team_Abbrivation_Winbets]])</f>
        <v>#VALUE!</v>
      </c>
      <c r="F139" s="6" t="s">
        <v>365</v>
      </c>
      <c r="G139" s="5">
        <v>378</v>
      </c>
      <c r="H139" s="5" t="s">
        <v>364</v>
      </c>
      <c r="I139" s="5" t="s">
        <v>338</v>
      </c>
    </row>
    <row r="140" spans="1:9">
      <c r="A140" s="20">
        <v>13</v>
      </c>
      <c r="B140" s="5">
        <v>14936</v>
      </c>
      <c r="C140" s="5" t="s">
        <v>334</v>
      </c>
      <c r="D140" s="5" t="s">
        <v>366</v>
      </c>
      <c r="E140" s="5" t="e">
        <f>LOWER(Table57811121314[[#This Row],[Leage_Abbrivation_Winbets]]) &amp; "_" &amp; LOWER(Table57811121314[[#This Row],[Team_Abbrivation_Winbets]])</f>
        <v>#VALUE!</v>
      </c>
      <c r="F140" s="6" t="s">
        <v>367</v>
      </c>
      <c r="G140" s="5">
        <v>379</v>
      </c>
      <c r="H140" s="5" t="s">
        <v>366</v>
      </c>
      <c r="I140" s="5" t="s">
        <v>338</v>
      </c>
    </row>
    <row r="141" spans="1:9">
      <c r="A141" s="21">
        <v>14</v>
      </c>
      <c r="B141" s="5">
        <v>14936</v>
      </c>
      <c r="C141" s="5" t="s">
        <v>334</v>
      </c>
      <c r="D141" s="5" t="s">
        <v>368</v>
      </c>
      <c r="E141" s="5" t="e">
        <f>LOWER(Table57811121314[[#This Row],[Leage_Abbrivation_Winbets]]) &amp; "_" &amp; LOWER(Table57811121314[[#This Row],[Team_Abbrivation_Winbets]])</f>
        <v>#VALUE!</v>
      </c>
      <c r="F141" s="6" t="s">
        <v>369</v>
      </c>
      <c r="G141" s="5">
        <v>380</v>
      </c>
      <c r="H141" s="5" t="s">
        <v>369</v>
      </c>
      <c r="I141" s="5" t="s">
        <v>338</v>
      </c>
    </row>
    <row r="142" spans="1:9">
      <c r="A142" s="20">
        <v>15</v>
      </c>
      <c r="B142" s="5">
        <v>14936</v>
      </c>
      <c r="C142" s="5" t="s">
        <v>334</v>
      </c>
      <c r="D142" s="5" t="s">
        <v>370</v>
      </c>
      <c r="E142" s="5" t="e">
        <f>LOWER(Table57811121314[[#This Row],[Leage_Abbrivation_Winbets]]) &amp; "_" &amp; LOWER(Table57811121314[[#This Row],[Team_Abbrivation_Winbets]])</f>
        <v>#VALUE!</v>
      </c>
      <c r="F142" s="6" t="s">
        <v>371</v>
      </c>
      <c r="G142" s="5">
        <v>385</v>
      </c>
      <c r="H142" s="5" t="s">
        <v>371</v>
      </c>
      <c r="I142" s="5" t="s">
        <v>338</v>
      </c>
    </row>
    <row r="143" spans="1:9">
      <c r="A143" s="21">
        <v>16</v>
      </c>
      <c r="B143" s="5">
        <v>14936</v>
      </c>
      <c r="C143" s="5" t="s">
        <v>334</v>
      </c>
      <c r="D143" s="5" t="s">
        <v>372</v>
      </c>
      <c r="E143" s="5" t="e">
        <f>LOWER(Table57811121314[[#This Row],[Leage_Abbrivation_Winbets]]) &amp; "_" &amp; LOWER(Table57811121314[[#This Row],[Team_Abbrivation_Winbets]])</f>
        <v>#VALUE!</v>
      </c>
      <c r="F143" s="6" t="s">
        <v>373</v>
      </c>
      <c r="G143" s="5">
        <v>387</v>
      </c>
      <c r="H143" s="5" t="s">
        <v>373</v>
      </c>
      <c r="I143" s="5" t="s">
        <v>338</v>
      </c>
    </row>
    <row r="144" spans="1:9">
      <c r="A144" s="20">
        <v>17</v>
      </c>
      <c r="B144" s="5">
        <v>14936</v>
      </c>
      <c r="C144" s="5" t="s">
        <v>334</v>
      </c>
      <c r="D144" s="5" t="s">
        <v>374</v>
      </c>
      <c r="E144" s="5" t="e">
        <f>LOWER(Table57811121314[[#This Row],[Leage_Abbrivation_Winbets]]) &amp; "_" &amp; LOWER(Table57811121314[[#This Row],[Team_Abbrivation_Winbets]])</f>
        <v>#VALUE!</v>
      </c>
      <c r="F144" s="6" t="s">
        <v>375</v>
      </c>
      <c r="G144" s="5">
        <v>389</v>
      </c>
      <c r="H144" s="5" t="s">
        <v>375</v>
      </c>
      <c r="I144" s="5" t="s">
        <v>338</v>
      </c>
    </row>
    <row r="145" spans="1:9">
      <c r="A145" s="22">
        <v>18</v>
      </c>
      <c r="B145" s="5">
        <v>14936</v>
      </c>
      <c r="C145" s="5" t="s">
        <v>334</v>
      </c>
      <c r="D145" s="5" t="s">
        <v>376</v>
      </c>
      <c r="E145" s="5" t="e">
        <f>LOWER(Table57811121314[[#This Row],[Leage_Abbrivation_Winbets]]) &amp; "_" &amp; LOWER(Table57811121314[[#This Row],[Team_Abbrivation_Winbets]])</f>
        <v>#VALUE!</v>
      </c>
      <c r="F145" s="6" t="s">
        <v>377</v>
      </c>
      <c r="G145" s="5">
        <v>398</v>
      </c>
      <c r="H145" s="5" t="s">
        <v>378</v>
      </c>
      <c r="I145" s="5" t="s">
        <v>338</v>
      </c>
    </row>
    <row r="146" spans="1:9">
      <c r="A146" s="20">
        <v>1</v>
      </c>
      <c r="B146" s="5">
        <v>14936</v>
      </c>
      <c r="C146" s="5" t="s">
        <v>379</v>
      </c>
      <c r="D146" s="5" t="s">
        <v>380</v>
      </c>
      <c r="E146" s="5" t="e">
        <f>LOWER(Table57811121314[[#This Row],[Leage_Abbrivation_Winbets]]) &amp; "_" &amp; LOWER(Table57811121314[[#This Row],[Team_Abbrivation_Winbets]])</f>
        <v>#VALUE!</v>
      </c>
      <c r="F146" s="6" t="s">
        <v>381</v>
      </c>
      <c r="G146" s="5">
        <v>1420</v>
      </c>
      <c r="H146" s="6" t="s">
        <v>381</v>
      </c>
      <c r="I146" s="5" t="s">
        <v>382</v>
      </c>
    </row>
    <row r="147" spans="1:9">
      <c r="A147" s="21">
        <v>2</v>
      </c>
      <c r="B147" s="5">
        <v>14936</v>
      </c>
      <c r="C147" s="5" t="s">
        <v>379</v>
      </c>
      <c r="D147" s="5" t="s">
        <v>383</v>
      </c>
      <c r="E147" s="5" t="e">
        <f>LOWER(Table57811121314[[#This Row],[Leage_Abbrivation_Winbets]]) &amp; "_" &amp; LOWER(Table57811121314[[#This Row],[Team_Abbrivation_Winbets]])</f>
        <v>#VALUE!</v>
      </c>
      <c r="F147" s="6" t="s">
        <v>384</v>
      </c>
      <c r="G147" s="5">
        <v>1421</v>
      </c>
      <c r="H147" s="5" t="s">
        <v>384</v>
      </c>
      <c r="I147" s="5" t="s">
        <v>382</v>
      </c>
    </row>
    <row r="148" spans="1:9">
      <c r="A148" s="20">
        <v>3</v>
      </c>
      <c r="B148" s="5">
        <v>14936</v>
      </c>
      <c r="C148" s="5" t="s">
        <v>379</v>
      </c>
      <c r="D148" s="24" t="s">
        <v>385</v>
      </c>
      <c r="E148" s="5" t="e">
        <f>LOWER(Table57811121314[[#This Row],[Leage_Abbrivation_Winbets]]) &amp; "_" &amp; LOWER(Table57811121314[[#This Row],[Team_Abbrivation_Winbets]])</f>
        <v>#VALUE!</v>
      </c>
      <c r="F148" s="28" t="s">
        <v>386</v>
      </c>
      <c r="G148" s="5">
        <v>1449</v>
      </c>
      <c r="H148" s="6" t="s">
        <v>387</v>
      </c>
      <c r="I148" s="5" t="s">
        <v>382</v>
      </c>
    </row>
    <row r="149" spans="1:9">
      <c r="A149" s="21">
        <v>4</v>
      </c>
      <c r="B149" s="5">
        <v>14936</v>
      </c>
      <c r="C149" s="5" t="s">
        <v>379</v>
      </c>
      <c r="D149" s="5" t="s">
        <v>388</v>
      </c>
      <c r="E149" s="5" t="e">
        <f>LOWER(Table57811121314[[#This Row],[Leage_Abbrivation_Winbets]]) &amp; "_" &amp; LOWER(Table57811121314[[#This Row],[Team_Abbrivation_Winbets]])</f>
        <v>#VALUE!</v>
      </c>
      <c r="F149" s="6" t="s">
        <v>389</v>
      </c>
      <c r="G149" s="5">
        <v>1432</v>
      </c>
      <c r="H149" s="5" t="s">
        <v>389</v>
      </c>
      <c r="I149" s="5" t="s">
        <v>382</v>
      </c>
    </row>
    <row r="150" spans="1:9">
      <c r="A150" s="20">
        <v>5</v>
      </c>
      <c r="B150" s="5">
        <v>14936</v>
      </c>
      <c r="C150" s="5" t="s">
        <v>379</v>
      </c>
      <c r="D150" s="5" t="s">
        <v>390</v>
      </c>
      <c r="E150" s="5" t="e">
        <f>LOWER(Table57811121314[[#This Row],[Leage_Abbrivation_Winbets]]) &amp; "_" &amp; LOWER(Table57811121314[[#This Row],[Team_Abbrivation_Winbets]])</f>
        <v>#VALUE!</v>
      </c>
      <c r="F150" s="6" t="s">
        <v>391</v>
      </c>
      <c r="G150" s="5">
        <v>1431</v>
      </c>
      <c r="H150" s="5" t="s">
        <v>391</v>
      </c>
      <c r="I150" s="5" t="s">
        <v>382</v>
      </c>
    </row>
    <row r="151" spans="1:9">
      <c r="A151" s="21">
        <v>6</v>
      </c>
      <c r="B151" s="5">
        <v>14936</v>
      </c>
      <c r="C151" s="5" t="s">
        <v>379</v>
      </c>
      <c r="D151" s="5" t="s">
        <v>392</v>
      </c>
      <c r="E151" s="5" t="e">
        <f>LOWER(Table57811121314[[#This Row],[Leage_Abbrivation_Winbets]]) &amp; "_" &amp; LOWER(Table57811121314[[#This Row],[Team_Abbrivation_Winbets]])</f>
        <v>#VALUE!</v>
      </c>
      <c r="F151" s="6" t="s">
        <v>393</v>
      </c>
      <c r="G151" s="5">
        <v>1444</v>
      </c>
      <c r="H151" s="6" t="s">
        <v>394</v>
      </c>
      <c r="I151" s="5" t="s">
        <v>382</v>
      </c>
    </row>
    <row r="152" spans="1:9">
      <c r="A152" s="20">
        <v>7</v>
      </c>
      <c r="B152" s="5">
        <v>14936</v>
      </c>
      <c r="C152" s="5" t="s">
        <v>379</v>
      </c>
      <c r="D152" s="5" t="s">
        <v>395</v>
      </c>
      <c r="E152" s="5" t="e">
        <f>LOWER(Table57811121314[[#This Row],[Leage_Abbrivation_Winbets]]) &amp; "_" &amp; LOWER(Table57811121314[[#This Row],[Team_Abbrivation_Winbets]])</f>
        <v>#VALUE!</v>
      </c>
      <c r="F152" s="6" t="s">
        <v>396</v>
      </c>
      <c r="G152" s="5">
        <v>1434</v>
      </c>
      <c r="H152" s="6" t="s">
        <v>396</v>
      </c>
      <c r="I152" s="5" t="s">
        <v>382</v>
      </c>
    </row>
    <row r="153" spans="1:9">
      <c r="A153" s="21">
        <v>8</v>
      </c>
      <c r="B153" s="5">
        <v>14936</v>
      </c>
      <c r="C153" s="5" t="s">
        <v>379</v>
      </c>
      <c r="D153" s="5" t="s">
        <v>397</v>
      </c>
      <c r="E153" s="5" t="e">
        <f>LOWER(Table57811121314[[#This Row],[Leage_Abbrivation_Winbets]]) &amp; "_" &amp; LOWER(Table57811121314[[#This Row],[Team_Abbrivation_Winbets]])</f>
        <v>#VALUE!</v>
      </c>
      <c r="F153" s="6" t="s">
        <v>398</v>
      </c>
      <c r="G153" s="5">
        <v>686211</v>
      </c>
      <c r="H153" s="6" t="s">
        <v>399</v>
      </c>
      <c r="I153" s="5" t="s">
        <v>382</v>
      </c>
    </row>
    <row r="154" spans="1:9">
      <c r="A154" s="20">
        <v>9</v>
      </c>
      <c r="B154" s="5">
        <v>14936</v>
      </c>
      <c r="C154" s="5" t="s">
        <v>379</v>
      </c>
      <c r="D154" s="5" t="s">
        <v>400</v>
      </c>
      <c r="E154" s="5" t="e">
        <f>LOWER(Table57811121314[[#This Row],[Leage_Abbrivation_Winbets]]) &amp; "_" &amp; LOWER(Table57811121314[[#This Row],[Team_Abbrivation_Winbets]])</f>
        <v>#VALUE!</v>
      </c>
      <c r="F154" s="6" t="s">
        <v>401</v>
      </c>
      <c r="G154" s="5">
        <v>1430</v>
      </c>
      <c r="H154" s="5" t="s">
        <v>401</v>
      </c>
      <c r="I154" s="5" t="s">
        <v>382</v>
      </c>
    </row>
    <row r="155" spans="1:9">
      <c r="A155" s="21">
        <v>10</v>
      </c>
      <c r="B155" s="5">
        <v>14936</v>
      </c>
      <c r="C155" s="5" t="s">
        <v>379</v>
      </c>
      <c r="D155" s="5" t="s">
        <v>402</v>
      </c>
      <c r="E155" s="5" t="e">
        <f>LOWER(Table57811121314[[#This Row],[Leage_Abbrivation_Winbets]]) &amp; "_" &amp; LOWER(Table57811121314[[#This Row],[Team_Abbrivation_Winbets]])</f>
        <v>#VALUE!</v>
      </c>
      <c r="F155" s="6" t="s">
        <v>403</v>
      </c>
      <c r="G155" s="5">
        <v>1428</v>
      </c>
      <c r="H155" s="5" t="s">
        <v>403</v>
      </c>
      <c r="I155" s="5" t="s">
        <v>382</v>
      </c>
    </row>
    <row r="156" spans="1:9">
      <c r="A156" s="20">
        <v>11</v>
      </c>
      <c r="B156" s="5">
        <v>14936</v>
      </c>
      <c r="C156" s="5" t="s">
        <v>379</v>
      </c>
      <c r="D156" s="5" t="s">
        <v>404</v>
      </c>
      <c r="E156" s="5" t="e">
        <f>LOWER(Table57811121314[[#This Row],[Leage_Abbrivation_Winbets]]) &amp; "_" &amp; LOWER(Table57811121314[[#This Row],[Team_Abbrivation_Winbets]])</f>
        <v>#VALUE!</v>
      </c>
      <c r="F156" s="6" t="s">
        <v>405</v>
      </c>
      <c r="G156" s="5">
        <v>1417</v>
      </c>
      <c r="H156" s="5" t="s">
        <v>405</v>
      </c>
      <c r="I156" s="5" t="s">
        <v>382</v>
      </c>
    </row>
    <row r="157" spans="1:9">
      <c r="A157" s="21">
        <v>12</v>
      </c>
      <c r="B157" s="5">
        <v>14936</v>
      </c>
      <c r="C157" s="5" t="s">
        <v>379</v>
      </c>
      <c r="D157" s="5" t="s">
        <v>406</v>
      </c>
      <c r="E157" s="5" t="e">
        <f>LOWER(Table57811121314[[#This Row],[Leage_Abbrivation_Winbets]]) &amp; "_" &amp; LOWER(Table57811121314[[#This Row],[Team_Abbrivation_Winbets]])</f>
        <v>#VALUE!</v>
      </c>
      <c r="F157" s="6" t="s">
        <v>407</v>
      </c>
      <c r="G157" s="5">
        <v>1433</v>
      </c>
      <c r="H157" s="5" t="s">
        <v>407</v>
      </c>
      <c r="I157" s="5" t="s">
        <v>382</v>
      </c>
    </row>
    <row r="158" spans="1:9">
      <c r="A158" s="20">
        <v>13</v>
      </c>
      <c r="B158" s="5">
        <v>14936</v>
      </c>
      <c r="C158" s="5" t="s">
        <v>379</v>
      </c>
      <c r="D158" s="5" t="s">
        <v>408</v>
      </c>
      <c r="E158" s="5" t="e">
        <f>LOWER(Table57811121314[[#This Row],[Leage_Abbrivation_Winbets]]) &amp; "_" &amp; LOWER(Table57811121314[[#This Row],[Team_Abbrivation_Winbets]])</f>
        <v>#VALUE!</v>
      </c>
      <c r="F158" s="6" t="s">
        <v>409</v>
      </c>
      <c r="G158" s="5">
        <v>1422</v>
      </c>
      <c r="H158" s="5" t="s">
        <v>409</v>
      </c>
      <c r="I158" s="5" t="s">
        <v>382</v>
      </c>
    </row>
    <row r="159" spans="1:9">
      <c r="A159" s="21">
        <v>14</v>
      </c>
      <c r="B159" s="5">
        <v>14936</v>
      </c>
      <c r="C159" s="5" t="s">
        <v>379</v>
      </c>
      <c r="D159" s="5" t="s">
        <v>410</v>
      </c>
      <c r="E159" s="5" t="e">
        <f>LOWER(Table57811121314[[#This Row],[Leage_Abbrivation_Winbets]]) &amp; "_" &amp; LOWER(Table57811121314[[#This Row],[Team_Abbrivation_Winbets]])</f>
        <v>#VALUE!</v>
      </c>
      <c r="F159" s="6" t="s">
        <v>411</v>
      </c>
      <c r="G159" s="5">
        <v>1427</v>
      </c>
      <c r="H159" s="6" t="s">
        <v>411</v>
      </c>
      <c r="I159" s="5" t="s">
        <v>382</v>
      </c>
    </row>
    <row r="160" spans="1:9">
      <c r="A160" s="20">
        <v>15</v>
      </c>
      <c r="B160" s="5">
        <v>14936</v>
      </c>
      <c r="C160" s="5" t="s">
        <v>379</v>
      </c>
      <c r="D160" s="5" t="s">
        <v>412</v>
      </c>
      <c r="E160" s="5" t="e">
        <f>LOWER(Table57811121314[[#This Row],[Leage_Abbrivation_Winbets]]) &amp; "_" &amp; LOWER(Table57811121314[[#This Row],[Team_Abbrivation_Winbets]])</f>
        <v>#VALUE!</v>
      </c>
      <c r="F160" s="6" t="s">
        <v>413</v>
      </c>
      <c r="G160" s="5">
        <v>1426</v>
      </c>
      <c r="H160" s="5" t="s">
        <v>414</v>
      </c>
      <c r="I160" s="5" t="s">
        <v>382</v>
      </c>
    </row>
    <row r="161" spans="1:9">
      <c r="A161" s="21">
        <v>16</v>
      </c>
      <c r="B161" s="5">
        <v>14936</v>
      </c>
      <c r="C161" s="5" t="s">
        <v>379</v>
      </c>
      <c r="D161" s="5" t="s">
        <v>415</v>
      </c>
      <c r="E161" s="5" t="e">
        <f>LOWER(Table57811121314[[#This Row],[Leage_Abbrivation_Winbets]]) &amp; "_" &amp; LOWER(Table57811121314[[#This Row],[Team_Abbrivation_Winbets]])</f>
        <v>#VALUE!</v>
      </c>
      <c r="F161" s="6" t="s">
        <v>416</v>
      </c>
      <c r="G161" s="5">
        <v>1423</v>
      </c>
      <c r="H161" s="5" t="s">
        <v>416</v>
      </c>
      <c r="I161" s="5" t="s">
        <v>382</v>
      </c>
    </row>
    <row r="162" spans="1:9">
      <c r="A162" s="20">
        <v>17</v>
      </c>
      <c r="B162" s="5">
        <v>14936</v>
      </c>
      <c r="C162" s="5" t="s">
        <v>379</v>
      </c>
      <c r="D162" s="5" t="s">
        <v>417</v>
      </c>
      <c r="E162" s="5" t="e">
        <f>LOWER(Table57811121314[[#This Row],[Leage_Abbrivation_Winbets]]) &amp; "_" &amp; LOWER(Table57811121314[[#This Row],[Team_Abbrivation_Winbets]])</f>
        <v>#VALUE!</v>
      </c>
      <c r="F162" s="6" t="s">
        <v>418</v>
      </c>
      <c r="G162" s="5">
        <v>1418</v>
      </c>
      <c r="H162" s="5" t="s">
        <v>418</v>
      </c>
      <c r="I162" s="5" t="s">
        <v>382</v>
      </c>
    </row>
    <row r="163" spans="1:9">
      <c r="A163" s="22">
        <v>18</v>
      </c>
      <c r="B163" s="5">
        <v>14936</v>
      </c>
      <c r="C163" s="5" t="s">
        <v>379</v>
      </c>
      <c r="D163" s="5" t="s">
        <v>419</v>
      </c>
      <c r="E163" s="5" t="e">
        <f>LOWER(Table57811121314[[#This Row],[Leage_Abbrivation_Winbets]]) &amp; "_" &amp; LOWER(Table57811121314[[#This Row],[Team_Abbrivation_Winbets]])</f>
        <v>#VALUE!</v>
      </c>
      <c r="F163" s="6" t="s">
        <v>420</v>
      </c>
      <c r="G163" s="5">
        <v>1424</v>
      </c>
      <c r="H163" s="5" t="s">
        <v>420</v>
      </c>
      <c r="I163" s="5" t="s">
        <v>382</v>
      </c>
    </row>
    <row r="164" spans="1:9">
      <c r="A164" s="20">
        <v>1</v>
      </c>
      <c r="B164" s="5">
        <v>14924</v>
      </c>
      <c r="C164" s="5" t="s">
        <v>422</v>
      </c>
      <c r="D164" s="5" t="s">
        <v>335</v>
      </c>
      <c r="E164" s="5" t="e">
        <f>LOWER(Table57811121314[[#This Row],[Leage_Abbrivation_Winbets]]) &amp; "_" &amp; LOWER(Table57811121314[[#This Row],[Team_Abbrivation_Winbets]])</f>
        <v>#VALUE!</v>
      </c>
      <c r="F164" s="6" t="s">
        <v>336</v>
      </c>
      <c r="G164" s="12">
        <v>120</v>
      </c>
      <c r="H164" s="26" t="s">
        <v>337</v>
      </c>
      <c r="I164" s="5" t="s">
        <v>423</v>
      </c>
    </row>
    <row r="165" spans="1:9">
      <c r="A165" s="21">
        <v>2</v>
      </c>
      <c r="B165" s="5">
        <v>14924</v>
      </c>
      <c r="C165" s="5" t="s">
        <v>422</v>
      </c>
      <c r="D165" s="5" t="s">
        <v>10</v>
      </c>
      <c r="E165" s="5" t="e">
        <f>LOWER(Table57811121314[[#This Row],[Leage_Abbrivation_Winbets]]) &amp; "_" &amp; LOWER(Table57811121314[[#This Row],[Team_Abbrivation_Winbets]])</f>
        <v>#VALUE!</v>
      </c>
      <c r="F165" s="6" t="s">
        <v>424</v>
      </c>
      <c r="G165" s="14">
        <v>59</v>
      </c>
      <c r="H165" s="29" t="s">
        <v>424</v>
      </c>
      <c r="I165" s="5" t="s">
        <v>423</v>
      </c>
    </row>
    <row r="166" spans="1:9">
      <c r="A166" s="20">
        <v>3</v>
      </c>
      <c r="B166" s="5">
        <v>14924</v>
      </c>
      <c r="C166" s="5" t="s">
        <v>422</v>
      </c>
      <c r="D166" s="5" t="s">
        <v>274</v>
      </c>
      <c r="E166" s="5" t="e">
        <f>LOWER(Table57811121314[[#This Row],[Leage_Abbrivation_Winbets]]) &amp; "_" &amp; LOWER(Table57811121314[[#This Row],[Team_Abbrivation_Winbets]])</f>
        <v>#VALUE!</v>
      </c>
      <c r="F166" s="6" t="s">
        <v>275</v>
      </c>
      <c r="G166" s="12">
        <v>56</v>
      </c>
      <c r="H166" s="26" t="s">
        <v>276</v>
      </c>
      <c r="I166" s="5" t="s">
        <v>423</v>
      </c>
    </row>
    <row r="167" spans="1:9">
      <c r="A167" s="21">
        <v>4</v>
      </c>
      <c r="B167" s="5">
        <v>14924</v>
      </c>
      <c r="C167" s="5" t="s">
        <v>422</v>
      </c>
      <c r="D167" s="5" t="s">
        <v>137</v>
      </c>
      <c r="E167" s="5" t="e">
        <f>LOWER(Table57811121314[[#This Row],[Leage_Abbrivation_Winbets]]) &amp; "_" &amp; LOWER(Table57811121314[[#This Row],[Team_Abbrivation_Winbets]])</f>
        <v>#VALUE!</v>
      </c>
      <c r="F167" s="6" t="s">
        <v>138</v>
      </c>
      <c r="G167" s="14">
        <v>464</v>
      </c>
      <c r="H167" s="29" t="s">
        <v>138</v>
      </c>
      <c r="I167" s="5" t="s">
        <v>423</v>
      </c>
    </row>
    <row r="168" spans="1:9">
      <c r="A168" s="20">
        <v>5</v>
      </c>
      <c r="B168" s="5">
        <v>14924</v>
      </c>
      <c r="C168" s="5" t="s">
        <v>422</v>
      </c>
      <c r="D168" s="5" t="s">
        <v>76</v>
      </c>
      <c r="E168" s="5" t="e">
        <f>LOWER(Table57811121314[[#This Row],[Leage_Abbrivation_Winbets]]) &amp; "_" &amp; LOWER(Table57811121314[[#This Row],[Team_Abbrivation_Winbets]])</f>
        <v>#VALUE!</v>
      </c>
      <c r="F168" s="6" t="s">
        <v>425</v>
      </c>
      <c r="G168" s="12">
        <v>285</v>
      </c>
      <c r="H168" s="26" t="s">
        <v>78</v>
      </c>
      <c r="I168" s="5" t="s">
        <v>423</v>
      </c>
    </row>
    <row r="169" spans="1:9">
      <c r="A169" s="21">
        <v>6</v>
      </c>
      <c r="B169" s="5">
        <v>14924</v>
      </c>
      <c r="C169" s="5" t="s">
        <v>422</v>
      </c>
      <c r="D169" s="5" t="s">
        <v>63</v>
      </c>
      <c r="E169" s="5" t="e">
        <f>LOWER(Table57811121314[[#This Row],[Leage_Abbrivation_Winbets]]) &amp; "_" &amp; LOWER(Table57811121314[[#This Row],[Team_Abbrivation_Winbets]])</f>
        <v>#VALUE!</v>
      </c>
      <c r="F169" s="6" t="s">
        <v>64</v>
      </c>
      <c r="G169" s="14">
        <v>117</v>
      </c>
      <c r="H169" s="29" t="s">
        <v>64</v>
      </c>
      <c r="I169" s="5" t="s">
        <v>423</v>
      </c>
    </row>
    <row r="170" spans="1:9">
      <c r="A170" s="20">
        <v>7</v>
      </c>
      <c r="B170" s="5">
        <v>14924</v>
      </c>
      <c r="C170" s="5" t="s">
        <v>422</v>
      </c>
      <c r="D170" s="5" t="s">
        <v>55</v>
      </c>
      <c r="E170" s="5" t="e">
        <f>LOWER(Table57811121314[[#This Row],[Leage_Abbrivation_Winbets]]) &amp; "_" &amp; LOWER(Table57811121314[[#This Row],[Team_Abbrivation_Winbets]])</f>
        <v>#VALUE!</v>
      </c>
      <c r="F170" s="6" t="s">
        <v>56</v>
      </c>
      <c r="G170" s="13">
        <v>83</v>
      </c>
      <c r="H170" s="25" t="s">
        <v>57</v>
      </c>
      <c r="I170" s="5" t="s">
        <v>423</v>
      </c>
    </row>
    <row r="171" spans="1:9">
      <c r="A171" s="21">
        <v>8</v>
      </c>
      <c r="B171" s="5">
        <v>14924</v>
      </c>
      <c r="C171" s="5" t="s">
        <v>422</v>
      </c>
      <c r="D171" s="5" t="s">
        <v>163</v>
      </c>
      <c r="E171" s="5" t="e">
        <f>LOWER(Table57811121314[[#This Row],[Leage_Abbrivation_Winbets]]) &amp; "_" &amp; LOWER(Table57811121314[[#This Row],[Team_Abbrivation_Winbets]])</f>
        <v>#VALUE!</v>
      </c>
      <c r="F171" s="6" t="s">
        <v>164</v>
      </c>
      <c r="G171" s="14">
        <v>40</v>
      </c>
      <c r="H171" s="29" t="s">
        <v>164</v>
      </c>
      <c r="I171" s="5" t="s">
        <v>423</v>
      </c>
    </row>
    <row r="172" spans="1:9">
      <c r="A172" s="20">
        <v>9</v>
      </c>
      <c r="B172" s="5">
        <v>14924</v>
      </c>
      <c r="C172" s="5" t="s">
        <v>422</v>
      </c>
      <c r="D172" s="25" t="s">
        <v>158</v>
      </c>
      <c r="E172" s="5" t="e">
        <f>LOWER(Table57811121314[[#This Row],[Leage_Abbrivation_Winbets]]) &amp; "_" &amp; LOWER(Table57811121314[[#This Row],[Team_Abbrivation_Winbets]])</f>
        <v>#VALUE!</v>
      </c>
      <c r="F172" s="27" t="s">
        <v>159</v>
      </c>
      <c r="G172" s="12">
        <v>38</v>
      </c>
      <c r="H172" s="26" t="s">
        <v>160</v>
      </c>
      <c r="I172" s="5" t="s">
        <v>423</v>
      </c>
    </row>
    <row r="173" spans="1:9">
      <c r="A173" s="21">
        <v>10</v>
      </c>
      <c r="B173" s="5">
        <v>14924</v>
      </c>
      <c r="C173" s="5" t="s">
        <v>422</v>
      </c>
      <c r="D173" s="5" t="s">
        <v>426</v>
      </c>
      <c r="E173" s="5" t="e">
        <f>LOWER(Table57811121314[[#This Row],[Leage_Abbrivation_Winbets]]) &amp; "_" &amp; LOWER(Table57811121314[[#This Row],[Team_Abbrivation_Winbets]])</f>
        <v>#VALUE!</v>
      </c>
      <c r="F173" s="6" t="s">
        <v>427</v>
      </c>
      <c r="G173" s="14">
        <v>78</v>
      </c>
      <c r="H173" s="29" t="s">
        <v>427</v>
      </c>
      <c r="I173" s="5" t="s">
        <v>423</v>
      </c>
    </row>
    <row r="174" spans="1:9">
      <c r="A174" s="20">
        <v>11</v>
      </c>
      <c r="B174" s="5">
        <v>14924</v>
      </c>
      <c r="C174" s="5" t="s">
        <v>422</v>
      </c>
      <c r="D174" s="5" t="s">
        <v>428</v>
      </c>
      <c r="E174" s="5" t="e">
        <f>LOWER(Table57811121314[[#This Row],[Leage_Abbrivation_Winbets]]) &amp; "_" &amp; LOWER(Table57811121314[[#This Row],[Team_Abbrivation_Winbets]])</f>
        <v>#VALUE!</v>
      </c>
      <c r="F174" s="6" t="s">
        <v>429</v>
      </c>
      <c r="G174" s="12">
        <v>332</v>
      </c>
      <c r="H174" s="26" t="s">
        <v>430</v>
      </c>
      <c r="I174" s="5" t="s">
        <v>423</v>
      </c>
    </row>
    <row r="175" spans="1:9">
      <c r="A175" s="21">
        <v>12</v>
      </c>
      <c r="B175" s="5">
        <v>14924</v>
      </c>
      <c r="C175" s="5" t="s">
        <v>422</v>
      </c>
      <c r="D175" s="5" t="s">
        <v>148</v>
      </c>
      <c r="E175" s="5" t="e">
        <f>LOWER(Table57811121314[[#This Row],[Leage_Abbrivation_Winbets]]) &amp; "_" &amp; LOWER(Table57811121314[[#This Row],[Team_Abbrivation_Winbets]])</f>
        <v>#VALUE!</v>
      </c>
      <c r="F175" s="6" t="s">
        <v>149</v>
      </c>
      <c r="G175" s="12">
        <v>33</v>
      </c>
      <c r="H175" s="26" t="s">
        <v>149</v>
      </c>
      <c r="I175" s="5" t="s">
        <v>423</v>
      </c>
    </row>
    <row r="176" spans="1:9">
      <c r="A176" s="20">
        <v>13</v>
      </c>
      <c r="B176" s="5">
        <v>14924</v>
      </c>
      <c r="C176" s="5" t="s">
        <v>422</v>
      </c>
      <c r="D176" s="5" t="s">
        <v>29</v>
      </c>
      <c r="E176" s="5" t="e">
        <f>LOWER(Table57811121314[[#This Row],[Leage_Abbrivation_Winbets]]) &amp; "_" &amp; LOWER(Table57811121314[[#This Row],[Team_Abbrivation_Winbets]])</f>
        <v>#VALUE!</v>
      </c>
      <c r="F176" s="6" t="s">
        <v>431</v>
      </c>
      <c r="G176" s="13">
        <v>152</v>
      </c>
      <c r="H176" s="25" t="s">
        <v>431</v>
      </c>
      <c r="I176" s="5" t="s">
        <v>423</v>
      </c>
    </row>
    <row r="177" spans="1:9">
      <c r="A177" s="21">
        <v>14</v>
      </c>
      <c r="B177" s="5">
        <v>14924</v>
      </c>
      <c r="C177" s="5" t="s">
        <v>422</v>
      </c>
      <c r="D177" s="5" t="s">
        <v>432</v>
      </c>
      <c r="E177" s="5" t="e">
        <f>LOWER(Table57811121314[[#This Row],[Leage_Abbrivation_Winbets]]) &amp; "_" &amp; LOWER(Table57811121314[[#This Row],[Team_Abbrivation_Winbets]])</f>
        <v>#VALUE!</v>
      </c>
      <c r="F177" s="6" t="s">
        <v>433</v>
      </c>
      <c r="G177" s="12">
        <v>95</v>
      </c>
      <c r="H177" s="26" t="s">
        <v>433</v>
      </c>
      <c r="I177" s="5" t="s">
        <v>423</v>
      </c>
    </row>
    <row r="178" spans="1:9">
      <c r="A178" s="20">
        <v>15</v>
      </c>
      <c r="B178" s="5">
        <v>14924</v>
      </c>
      <c r="C178" s="5" t="s">
        <v>422</v>
      </c>
      <c r="D178" s="5" t="s">
        <v>174</v>
      </c>
      <c r="E178" s="5" t="e">
        <f>LOWER(Table57811121314[[#This Row],[Leage_Abbrivation_Winbets]]) &amp; "_" &amp; LOWER(Table57811121314[[#This Row],[Team_Abbrivation_Winbets]])</f>
        <v>#VALUE!</v>
      </c>
      <c r="F178" s="6" t="s">
        <v>175</v>
      </c>
      <c r="G178" s="12">
        <v>44</v>
      </c>
      <c r="H178" s="26" t="s">
        <v>175</v>
      </c>
      <c r="I178" s="5" t="s">
        <v>423</v>
      </c>
    </row>
    <row r="179" spans="1:9">
      <c r="A179" s="21">
        <v>16</v>
      </c>
      <c r="B179" s="5">
        <v>14924</v>
      </c>
      <c r="C179" s="5" t="s">
        <v>422</v>
      </c>
      <c r="D179" s="5" t="s">
        <v>434</v>
      </c>
      <c r="E179" s="5" t="e">
        <f>LOWER(Table57811121314[[#This Row],[Leage_Abbrivation_Winbets]]) &amp; "_" &amp; LOWER(Table57811121314[[#This Row],[Team_Abbrivation_Winbets]])</f>
        <v>#VALUE!</v>
      </c>
      <c r="F179" s="6" t="s">
        <v>435</v>
      </c>
      <c r="G179" s="12">
        <v>55</v>
      </c>
      <c r="H179" s="30" t="s">
        <v>436</v>
      </c>
      <c r="I179" s="5" t="s">
        <v>423</v>
      </c>
    </row>
    <row r="180" spans="1:9">
      <c r="A180" s="20">
        <v>17</v>
      </c>
      <c r="B180" s="5">
        <v>14924</v>
      </c>
      <c r="C180" s="5" t="s">
        <v>422</v>
      </c>
      <c r="D180" s="5" t="s">
        <v>437</v>
      </c>
      <c r="E180" s="5" t="e">
        <f>LOWER(Table57811121314[[#This Row],[Leage_Abbrivation_Winbets]]) &amp; "_" &amp; LOWER(Table57811121314[[#This Row],[Team_Abbrivation_Winbets]])</f>
        <v>#VALUE!</v>
      </c>
      <c r="F180" s="6" t="s">
        <v>438</v>
      </c>
      <c r="G180" s="13">
        <v>75</v>
      </c>
      <c r="H180" s="25" t="s">
        <v>439</v>
      </c>
      <c r="I180" s="5" t="s">
        <v>423</v>
      </c>
    </row>
    <row r="181" spans="1:9">
      <c r="A181" s="21">
        <v>18</v>
      </c>
      <c r="B181" s="5">
        <v>14924</v>
      </c>
      <c r="C181" s="5" t="s">
        <v>422</v>
      </c>
      <c r="D181" s="5" t="s">
        <v>440</v>
      </c>
      <c r="E181" s="5" t="str">
        <f>LOWER(Table57811121314[[#This Row],[Leage_Abbrivation_Winbets]]) &amp; "_" &amp; LOWER(Table57811121314[[#This Row],[Team_Abbrivation_Winbets]])</f>
        <v>uefa_aja</v>
      </c>
      <c r="F181" s="6" t="s">
        <v>441</v>
      </c>
      <c r="G181" s="14">
        <v>187</v>
      </c>
      <c r="H181" s="29" t="s">
        <v>441</v>
      </c>
      <c r="I181" s="5" t="s">
        <v>423</v>
      </c>
    </row>
    <row r="182" spans="1:9">
      <c r="A182" s="20">
        <v>19</v>
      </c>
      <c r="B182" s="5">
        <v>14924</v>
      </c>
      <c r="C182" s="5" t="s">
        <v>422</v>
      </c>
      <c r="D182" s="5" t="s">
        <v>442</v>
      </c>
      <c r="E182" s="5" t="str">
        <f>LOWER(Table57811121314[[#This Row],[Leage_Abbrivation_Winbets]]) &amp; "_" &amp; LOWER(Table57811121314[[#This Row],[Team_Abbrivation_Winbets]])</f>
        <v>uefa_ars</v>
      </c>
      <c r="F182" s="6" t="s">
        <v>443</v>
      </c>
      <c r="G182" s="12">
        <v>470</v>
      </c>
      <c r="H182" s="26" t="s">
        <v>128</v>
      </c>
      <c r="I182" s="5" t="s">
        <v>423</v>
      </c>
    </row>
    <row r="183" spans="1:9">
      <c r="A183" s="21">
        <v>20</v>
      </c>
      <c r="B183" s="5">
        <v>14924</v>
      </c>
      <c r="C183" s="5" t="s">
        <v>422</v>
      </c>
      <c r="D183" s="5" t="s">
        <v>110</v>
      </c>
      <c r="E183" s="5" t="str">
        <f>LOWER(Table57811121314[[#This Row],[Leage_Abbrivation_Winbets]]) &amp; "_" &amp; LOWER(Table57811121314[[#This Row],[Team_Abbrivation_Winbets]])</f>
        <v>uefa_mon</v>
      </c>
      <c r="F183" s="6" t="s">
        <v>111</v>
      </c>
      <c r="G183" s="14">
        <v>90</v>
      </c>
      <c r="H183" s="29" t="s">
        <v>111</v>
      </c>
      <c r="I183" s="5" t="s">
        <v>423</v>
      </c>
    </row>
    <row r="184" spans="1:9">
      <c r="A184" s="5"/>
      <c r="B184" s="5">
        <v>14924</v>
      </c>
      <c r="C184" s="5" t="s">
        <v>422</v>
      </c>
      <c r="D184" s="5" t="s">
        <v>444</v>
      </c>
      <c r="E184" s="5" t="str">
        <f>LOWER(Table57811121314[[#This Row],[Leage_Abbrivation_Winbets]]) &amp; "_" &amp; LOWER(Table57811121314[[#This Row],[Team_Abbrivation_Winbets]])</f>
        <v>uefa_ata</v>
      </c>
      <c r="F184" s="6" t="s">
        <v>445</v>
      </c>
      <c r="G184" s="13">
        <v>5408</v>
      </c>
      <c r="H184" s="25" t="s">
        <v>446</v>
      </c>
      <c r="I184" s="5" t="s">
        <v>423</v>
      </c>
    </row>
    <row r="185" spans="1:9">
      <c r="A185" s="5"/>
      <c r="B185" s="5">
        <v>14924</v>
      </c>
      <c r="C185" s="5" t="s">
        <v>422</v>
      </c>
      <c r="D185" s="5" t="s">
        <v>27</v>
      </c>
      <c r="E185" s="5" t="str">
        <f>LOWER(Table57811121314[[#This Row],[Leage_Abbrivation_Winbets]]) &amp; "_" &amp; LOWER(Table57811121314[[#This Row],[Team_Abbrivation_Winbets]])</f>
        <v>uefa_ath</v>
      </c>
      <c r="F185" s="6" t="s">
        <v>447</v>
      </c>
      <c r="G185" s="12">
        <v>151</v>
      </c>
      <c r="H185" s="26" t="s">
        <v>447</v>
      </c>
      <c r="I185" s="5" t="s">
        <v>423</v>
      </c>
    </row>
    <row r="186" spans="1:9">
      <c r="A186" s="5"/>
      <c r="B186" s="5">
        <v>14924</v>
      </c>
      <c r="C186" s="5" t="s">
        <v>422</v>
      </c>
      <c r="D186" s="5" t="s">
        <v>15</v>
      </c>
      <c r="E186" s="5" t="str">
        <f>LOWER(Table57811121314[[#This Row],[Leage_Abbrivation_Winbets]]) &amp; "_" &amp; LOWER(Table57811121314[[#This Row],[Team_Abbrivation_Winbets]])</f>
        <v>uefa_atm</v>
      </c>
      <c r="F186" s="6" t="s">
        <v>448</v>
      </c>
      <c r="G186" s="12">
        <v>93</v>
      </c>
      <c r="H186" s="26" t="s">
        <v>448</v>
      </c>
      <c r="I186" s="5" t="s">
        <v>423</v>
      </c>
    </row>
    <row r="187" spans="1:9">
      <c r="A187" s="5"/>
      <c r="B187" s="5">
        <v>14924</v>
      </c>
      <c r="C187" s="5" t="s">
        <v>422</v>
      </c>
      <c r="D187" s="5" t="s">
        <v>301</v>
      </c>
      <c r="E187" s="5" t="str">
        <f>LOWER(Table57811121314[[#This Row],[Leage_Abbrivation_Winbets]]) &amp; "_" &amp; LOWER(Table57811121314[[#This Row],[Team_Abbrivation_Winbets]])</f>
        <v>uefa_bar</v>
      </c>
      <c r="F187" s="6" t="s">
        <v>302</v>
      </c>
      <c r="G187" s="12">
        <v>443</v>
      </c>
      <c r="H187" s="26" t="s">
        <v>303</v>
      </c>
      <c r="I187" s="5" t="s">
        <v>423</v>
      </c>
    </row>
    <row r="188" spans="1:9">
      <c r="A188" s="5"/>
      <c r="B188" s="5">
        <v>14924</v>
      </c>
      <c r="C188" s="5" t="s">
        <v>422</v>
      </c>
      <c r="D188" s="5" t="s">
        <v>107</v>
      </c>
      <c r="E188" s="5" t="str">
        <f>LOWER(Table57811121314[[#This Row],[Leage_Abbrivation_Winbets]]) &amp; "_" &amp; LOWER(Table57811121314[[#This Row],[Team_Abbrivation_Winbets]])</f>
        <v>uefa_b04</v>
      </c>
      <c r="F188" s="6" t="s">
        <v>108</v>
      </c>
      <c r="G188" s="13">
        <v>74</v>
      </c>
      <c r="H188" s="25" t="s">
        <v>108</v>
      </c>
      <c r="I188" s="5" t="s">
        <v>423</v>
      </c>
    </row>
    <row r="189" spans="1:9">
      <c r="A189" s="5"/>
      <c r="B189" s="5">
        <v>14924</v>
      </c>
      <c r="C189" s="5" t="s">
        <v>422</v>
      </c>
      <c r="D189" s="5" t="s">
        <v>35</v>
      </c>
      <c r="E189" s="5" t="str">
        <f>LOWER(Table57811121314[[#This Row],[Leage_Abbrivation_Winbets]]) &amp; "_" &amp; LOWER(Table57811121314[[#This Row],[Team_Abbrivation_Winbets]])</f>
        <v>uefa_mun</v>
      </c>
      <c r="F189" s="6" t="s">
        <v>449</v>
      </c>
      <c r="G189" s="12">
        <v>157</v>
      </c>
      <c r="H189" s="26" t="s">
        <v>449</v>
      </c>
      <c r="I189" s="5" t="s">
        <v>423</v>
      </c>
    </row>
    <row r="190" spans="1:9">
      <c r="A190" s="5"/>
      <c r="B190" s="5">
        <v>14924</v>
      </c>
      <c r="C190" s="5" t="s">
        <v>422</v>
      </c>
      <c r="D190" s="5" t="s">
        <v>450</v>
      </c>
      <c r="E190" s="5" t="str">
        <f>LOWER(Table57811121314[[#This Row],[Leage_Abbrivation_Winbets]]) &amp; "_" &amp; LOWER(Table57811121314[[#This Row],[Team_Abbrivation_Winbets]])</f>
        <v>uefa_ben</v>
      </c>
      <c r="F190" s="6" t="s">
        <v>451</v>
      </c>
      <c r="G190" s="13">
        <v>116</v>
      </c>
      <c r="H190" s="25" t="s">
        <v>452</v>
      </c>
      <c r="I190" s="5" t="s">
        <v>423</v>
      </c>
    </row>
    <row r="191" spans="1:9">
      <c r="A191" s="5"/>
      <c r="B191" s="5">
        <v>14924</v>
      </c>
      <c r="C191" s="5" t="s">
        <v>422</v>
      </c>
      <c r="D191" s="5" t="s">
        <v>453</v>
      </c>
      <c r="E191" s="5" t="str">
        <f>LOWER(Table57811121314[[#This Row],[Leage_Abbrivation_Winbets]]) &amp; "_" &amp; LOWER(Table57811121314[[#This Row],[Team_Abbrivation_Winbets]])</f>
        <v>uefa_bodo</v>
      </c>
      <c r="F191" s="6" t="s">
        <v>454</v>
      </c>
      <c r="G191" s="12">
        <v>3743</v>
      </c>
      <c r="H191" s="26" t="s">
        <v>455</v>
      </c>
      <c r="I191" s="5" t="s">
        <v>423</v>
      </c>
    </row>
    <row r="192" spans="1:9">
      <c r="A192" s="5"/>
      <c r="B192" s="5">
        <v>14924</v>
      </c>
      <c r="C192" s="5" t="s">
        <v>422</v>
      </c>
      <c r="D192" s="5" t="s">
        <v>282</v>
      </c>
      <c r="E192" s="5" t="str">
        <f>LOWER(Table57811121314[[#This Row],[Leage_Abbrivation_Winbets]]) &amp; "_" &amp; LOWER(Table57811121314[[#This Row],[Team_Abbrivation_Winbets]])</f>
        <v>uefa_dor</v>
      </c>
      <c r="F192" s="6" t="s">
        <v>283</v>
      </c>
      <c r="G192" s="13">
        <v>68</v>
      </c>
      <c r="H192" s="25" t="s">
        <v>282</v>
      </c>
      <c r="I192" s="5" t="s">
        <v>423</v>
      </c>
    </row>
    <row r="193" spans="1:9">
      <c r="A193" s="5"/>
      <c r="B193" s="5">
        <v>14924</v>
      </c>
      <c r="C193" s="5" t="s">
        <v>422</v>
      </c>
      <c r="D193" s="5" t="s">
        <v>339</v>
      </c>
      <c r="E193" s="5" t="str">
        <f>LOWER(Table57811121314[[#This Row],[Leage_Abbrivation_Winbets]]) &amp; "_" &amp; LOWER(Table57811121314[[#This Row],[Team_Abbrivation_Winbets]])</f>
        <v>uefa_che</v>
      </c>
      <c r="F193" s="6" t="s">
        <v>340</v>
      </c>
      <c r="G193" s="12">
        <v>121</v>
      </c>
      <c r="H193" s="26" t="s">
        <v>339</v>
      </c>
      <c r="I193" s="5" t="s">
        <v>423</v>
      </c>
    </row>
    <row r="194" spans="1:9">
      <c r="A194" s="5"/>
      <c r="B194" s="5">
        <v>14924</v>
      </c>
      <c r="C194" s="5" t="s">
        <v>422</v>
      </c>
      <c r="D194" s="5" t="s">
        <v>58</v>
      </c>
      <c r="E194" s="5" t="str">
        <f>LOWER(Table57811121314[[#This Row],[Leage_Abbrivation_Winbets]]) &amp; "_" &amp; LOWER(Table57811121314[[#This Row],[Team_Abbrivation_Winbets]])</f>
        <v>uefa_bru</v>
      </c>
      <c r="F194" s="6" t="s">
        <v>59</v>
      </c>
      <c r="G194" s="12">
        <v>84</v>
      </c>
      <c r="H194" s="26" t="s">
        <v>59</v>
      </c>
      <c r="I194" s="5" t="s">
        <v>423</v>
      </c>
    </row>
    <row r="195" spans="1:9">
      <c r="A195" s="5"/>
      <c r="B195" s="5">
        <v>14924</v>
      </c>
      <c r="C195" s="5" t="s">
        <v>422</v>
      </c>
      <c r="D195" s="5" t="s">
        <v>456</v>
      </c>
      <c r="E195" s="5" t="str">
        <f>LOWER(Table57811121314[[#This Row],[Leage_Abbrivation_Winbets]]) &amp; "_" &amp; LOWER(Table57811121314[[#This Row],[Team_Abbrivation_Winbets]])</f>
        <v>uefa_sge</v>
      </c>
      <c r="F195" s="6" t="s">
        <v>457</v>
      </c>
      <c r="G195" s="12">
        <v>1213</v>
      </c>
      <c r="H195" s="26" t="s">
        <v>458</v>
      </c>
      <c r="I195" s="5" t="s">
        <v>423</v>
      </c>
    </row>
    <row r="196" spans="1:9">
      <c r="A196" s="5"/>
      <c r="B196" s="5">
        <v>14924</v>
      </c>
      <c r="C196" s="5" t="s">
        <v>422</v>
      </c>
      <c r="D196" s="5" t="s">
        <v>459</v>
      </c>
      <c r="E196" s="5" t="str">
        <f>LOWER(Table57811121314[[#This Row],[Leage_Abbrivation_Winbets]]) &amp; "_" &amp; LOWER(Table57811121314[[#This Row],[Team_Abbrivation_Winbets]])</f>
        <v>uefa_kbh</v>
      </c>
      <c r="F196" s="6" t="s">
        <v>460</v>
      </c>
      <c r="G196" s="12">
        <v>114</v>
      </c>
      <c r="H196" s="26" t="s">
        <v>460</v>
      </c>
      <c r="I196" s="5" t="s">
        <v>423</v>
      </c>
    </row>
    <row r="197" spans="1:9">
      <c r="A197" s="5"/>
      <c r="B197" s="5">
        <v>14924</v>
      </c>
      <c r="C197" s="5" t="s">
        <v>422</v>
      </c>
      <c r="D197" s="5" t="s">
        <v>13</v>
      </c>
      <c r="E197" s="5" t="str">
        <f>LOWER(Table57811121314[[#This Row],[Leage_Abbrivation_Winbets]]) &amp; "_" &amp; LOWER(Table57811121314[[#This Row],[Team_Abbrivation_Winbets]])</f>
        <v>uefa_qar</v>
      </c>
      <c r="F197" s="6" t="s">
        <v>461</v>
      </c>
      <c r="G197" s="12">
        <v>92</v>
      </c>
      <c r="H197" s="26" t="s">
        <v>461</v>
      </c>
      <c r="I197" s="5" t="s">
        <v>423</v>
      </c>
    </row>
    <row r="198" spans="1:9">
      <c r="A198" s="5"/>
      <c r="B198" s="5">
        <v>14924</v>
      </c>
      <c r="C198" s="5" t="s">
        <v>422</v>
      </c>
      <c r="D198" s="5" t="s">
        <v>462</v>
      </c>
      <c r="E198" s="5" t="str">
        <f>LOWER(Table57811121314[[#This Row],[Leage_Abbrivation_Winbets]]) &amp; "_" &amp; LOWER(Table57811121314[[#This Row],[Team_Abbrivation_Winbets]])</f>
        <v>uefa_gal</v>
      </c>
      <c r="F198" s="6" t="s">
        <v>463</v>
      </c>
      <c r="G198" s="13">
        <v>2572</v>
      </c>
      <c r="H198" s="25" t="s">
        <v>464</v>
      </c>
      <c r="I198" s="5" t="s">
        <v>423</v>
      </c>
    </row>
    <row r="199" spans="1:9">
      <c r="A199" s="5"/>
      <c r="B199" s="5">
        <v>14924</v>
      </c>
      <c r="C199" s="5" t="s">
        <v>422</v>
      </c>
      <c r="D199" s="5" t="s">
        <v>52</v>
      </c>
      <c r="E199" s="5" t="str">
        <f>LOWER(Table57811121314[[#This Row],[Leage_Abbrivation_Winbets]]) &amp; "_" &amp; LOWER(Table57811121314[[#This Row],[Team_Abbrivation_Winbets]])</f>
        <v>uefa_int</v>
      </c>
      <c r="F199" s="6" t="s">
        <v>53</v>
      </c>
      <c r="G199" s="31">
        <v>76</v>
      </c>
      <c r="H199" s="32" t="s">
        <v>53</v>
      </c>
      <c r="I199" s="5" t="s">
        <v>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 Thakkar</dc:creator>
  <cp:keywords/>
  <dc:description/>
  <cp:lastModifiedBy>Guest User</cp:lastModifiedBy>
  <cp:revision/>
  <dcterms:created xsi:type="dcterms:W3CDTF">2025-11-17T09:09:55Z</dcterms:created>
  <dcterms:modified xsi:type="dcterms:W3CDTF">2025-11-17T17:39:32Z</dcterms:modified>
  <cp:category/>
  <cp:contentStatus/>
</cp:coreProperties>
</file>